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735640541fc0c4/Documents/Resume Projects/Fleet Asset Cost-Benefit Analysis Model/"/>
    </mc:Choice>
  </mc:AlternateContent>
  <xr:revisionPtr revIDLastSave="959" documentId="8_{85ECE289-8236-469D-9ED1-620A9CAF1A1D}" xr6:coauthVersionLast="47" xr6:coauthVersionMax="47" xr10:uidLastSave="{24DFEB16-B432-4CD1-AE32-7B3FE1A53459}"/>
  <bookViews>
    <workbookView xWindow="-120" yWindow="-120" windowWidth="38640" windowHeight="21120" xr2:uid="{3386C0EC-8F45-4C2C-9F0C-85717D0991C6}"/>
  </bookViews>
  <sheets>
    <sheet name="Executive Summary" sheetId="2" r:id="rId1"/>
    <sheet name="Cost-Benefit Model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4" i="1" l="1"/>
  <c r="H54" i="1"/>
  <c r="I54" i="1"/>
  <c r="J54" i="1"/>
  <c r="F54" i="1"/>
  <c r="J53" i="1"/>
  <c r="I53" i="1"/>
  <c r="H53" i="1"/>
  <c r="G53" i="1"/>
  <c r="F53" i="1"/>
  <c r="J60" i="1"/>
  <c r="J61" i="1" s="1"/>
  <c r="I60" i="1"/>
  <c r="I61" i="1" s="1"/>
  <c r="H60" i="1"/>
  <c r="H61" i="1" s="1"/>
  <c r="G60" i="1"/>
  <c r="G61" i="1" s="1"/>
  <c r="F60" i="1"/>
  <c r="F58" i="1"/>
  <c r="K58" i="1" s="1"/>
  <c r="F57" i="1"/>
  <c r="F44" i="1"/>
  <c r="K57" i="1" l="1"/>
  <c r="D29" i="1"/>
  <c r="F50" i="1" l="1"/>
  <c r="K50" i="1" s="1"/>
  <c r="F49" i="1"/>
  <c r="F36" i="1"/>
  <c r="K36" i="1" s="1"/>
  <c r="F43" i="1"/>
  <c r="K43" i="1" s="1"/>
  <c r="D30" i="1"/>
  <c r="K60" i="1" l="1"/>
  <c r="I52" i="1"/>
  <c r="H38" i="1"/>
  <c r="H52" i="1"/>
  <c r="G38" i="1"/>
  <c r="J45" i="1"/>
  <c r="I45" i="1"/>
  <c r="G45" i="1"/>
  <c r="G46" i="1" s="1"/>
  <c r="J38" i="1"/>
  <c r="G52" i="1"/>
  <c r="K52" i="1" s="1"/>
  <c r="F38" i="1"/>
  <c r="K38" i="1" s="1"/>
  <c r="H45" i="1"/>
  <c r="H46" i="1" s="1"/>
  <c r="F45" i="1"/>
  <c r="F52" i="1"/>
  <c r="I38" i="1"/>
  <c r="J52" i="1"/>
  <c r="K49" i="1"/>
  <c r="F35" i="1"/>
  <c r="F59" i="1"/>
  <c r="G37" i="1"/>
  <c r="I51" i="1"/>
  <c r="J37" i="1"/>
  <c r="J39" i="1" s="1"/>
  <c r="I37" i="1"/>
  <c r="I39" i="1" s="1"/>
  <c r="H51" i="1"/>
  <c r="G51" i="1"/>
  <c r="H37" i="1"/>
  <c r="H39" i="1" s="1"/>
  <c r="J44" i="1"/>
  <c r="I44" i="1"/>
  <c r="J51" i="1"/>
  <c r="F51" i="1"/>
  <c r="F42" i="1"/>
  <c r="K59" i="1" l="1"/>
  <c r="F61" i="1"/>
  <c r="K45" i="1"/>
  <c r="G39" i="1"/>
  <c r="K37" i="1"/>
  <c r="F39" i="1"/>
  <c r="F65" i="1" s="1"/>
  <c r="K35" i="1"/>
  <c r="I46" i="1"/>
  <c r="K44" i="1"/>
  <c r="J46" i="1"/>
  <c r="F46" i="1"/>
  <c r="F66" i="1" s="1"/>
  <c r="K42" i="1"/>
  <c r="K51" i="1"/>
  <c r="K53" i="1"/>
  <c r="F67" i="1"/>
  <c r="K39" i="1"/>
  <c r="G65" i="1" s="1"/>
  <c r="K54" i="1" l="1"/>
  <c r="G67" i="1" s="1"/>
  <c r="K61" i="1"/>
  <c r="G68" i="1" s="1"/>
  <c r="F68" i="1"/>
  <c r="K46" i="1"/>
  <c r="G66" i="1" s="1"/>
  <c r="K66" i="1" l="1"/>
  <c r="J66" i="1"/>
  <c r="K65" i="1"/>
  <c r="K68" i="1"/>
  <c r="J67" i="1"/>
  <c r="J65" i="1"/>
  <c r="K67" i="1"/>
  <c r="J68" i="1"/>
</calcChain>
</file>

<file path=xl/sharedStrings.xml><?xml version="1.0" encoding="utf-8"?>
<sst xmlns="http://schemas.openxmlformats.org/spreadsheetml/2006/main" count="189" uniqueCount="184">
  <si>
    <t>WT64 Fleet - Replacement vs Repair/Cost-Benefit Analysis</t>
  </si>
  <si>
    <t>Jackson Kerins, August 2026</t>
  </si>
  <si>
    <t>SECTION 1 | KEY ASSUMPTIONS &amp; INPUTS</t>
  </si>
  <si>
    <t>Assumption/ Input Driver</t>
  </si>
  <si>
    <t>Value</t>
  </si>
  <si>
    <t>Notes/ Source</t>
  </si>
  <si>
    <t>Fleet History</t>
  </si>
  <si>
    <t>Original fleet size (X units)</t>
  </si>
  <si>
    <t>% of devices that have died (Z%)</t>
  </si>
  <si>
    <t>Price per WT64 (replacement)</t>
  </si>
  <si>
    <t>Estimated trade-in / residual value per old unit</t>
  </si>
  <si>
    <t>Zebra OneCare Contract Pricing</t>
  </si>
  <si>
    <t>OneCare retro rate - 3-yr enroll (per unit/year)</t>
  </si>
  <si>
    <t>OneCare retro rate - 5-yr enroll (per unit/year)</t>
  </si>
  <si>
    <t>OneCare new conract rate - 5-yr (per unit/year)</t>
  </si>
  <si>
    <t xml:space="preserve">Repair Costs &amp; Failure Rate Assumptions </t>
  </si>
  <si>
    <t>OneCare warranty repair price per dead unit (retro)</t>
  </si>
  <si>
    <t>Out-of-pocket repair cost per unit (no contract)</t>
  </si>
  <si>
    <t>Projected annual failure rate — surviving units (Yr 1)</t>
  </si>
  <si>
    <t>Failure rate step-up per year (aging acceleration)</t>
  </si>
  <si>
    <t>Derived Fleet Counts(auto-calculated - do not edit)</t>
  </si>
  <si>
    <t>Dead units (X*Z%)</t>
  </si>
  <si>
    <t>Surviving Units (X - dead)</t>
  </si>
  <si>
    <t>Full depot repair rate charged without active warranty coverage</t>
  </si>
  <si>
    <t>% of surviving units expected to fail per year; 5-yr-old devices typically 8–12%</t>
  </si>
  <si>
    <t>Additional failure % added each year to model aging fleet — conservative: 2%</t>
  </si>
  <si>
    <t>Retroactive enrollment; confrim with Zebra rep since its higher than standard</t>
  </si>
  <si>
    <t>5-yr enrollment rate; lower than 3-yr; also confirm with Zebra rep</t>
  </si>
  <si>
    <t>Standard new device rate; applies to replacement fleet</t>
  </si>
  <si>
    <t>Percent of devices from original fleet that have died; enter as decimal - e.g. 0.15 = 15%</t>
  </si>
  <si>
    <t>Total WT63 devices purchased 5 years ago</t>
  </si>
  <si>
    <t>Under-contract depot repair rate; what customer pays per device under retro OneCare</t>
  </si>
  <si>
    <t>SECTION 2 | YEAR-BY-YEAR COST BUILD (5-Year Horizon)</t>
  </si>
  <si>
    <t>Cost Component</t>
  </si>
  <si>
    <t>Credit receiving when returning old functional devices</t>
  </si>
  <si>
    <t>Year 1</t>
  </si>
  <si>
    <t>Year 2</t>
  </si>
  <si>
    <t>Year 3</t>
  </si>
  <si>
    <t>Year 4</t>
  </si>
  <si>
    <t xml:space="preserve">Year 5 </t>
  </si>
  <si>
    <t>5-Yr Total</t>
  </si>
  <si>
    <t>OPTION A | Retroactive OneCare 3-Year -- Warranty Repair Dead Units - 1 Year Coverage Remaining</t>
  </si>
  <si>
    <t>Retroactive OneCare contract cost - all units (paid Yr 1)</t>
  </si>
  <si>
    <t>Warranty repair cost - dead units</t>
  </si>
  <si>
    <t>Out-of-pocket repairs - survivors post contract (Yrs 2-5)</t>
  </si>
  <si>
    <t>OPTION A - ANNUAL COST</t>
  </si>
  <si>
    <t xml:space="preserve">Option Description </t>
  </si>
  <si>
    <t xml:space="preserve">Yr-1 Cash Outlay </t>
  </si>
  <si>
    <t>5-Yr total Cost</t>
  </si>
  <si>
    <t>Coverage Window</t>
  </si>
  <si>
    <t>Failure Risk</t>
  </si>
  <si>
    <t xml:space="preserve">vs. Lowest Cost </t>
  </si>
  <si>
    <t>OPTION B | Retroactive OneCare 5-Year -- Warranty Repair Dead Units - 3 Years Coverage Remaining</t>
  </si>
  <si>
    <t>Out-of-pocket repairs - survivors post contract (Yrs 4-5)</t>
  </si>
  <si>
    <t>OPTION B - ANNUAL COST</t>
  </si>
  <si>
    <t>Replacement purchase - dead units only (Yr 1)</t>
  </si>
  <si>
    <t>OPTION C - ANNUAL COST</t>
  </si>
  <si>
    <t>Full fleet replacement - all units purchased new (Yr 1)</t>
  </si>
  <si>
    <t xml:space="preserve">OPTION C | Replace Dead Units Only - No Contract on Surviving Units </t>
  </si>
  <si>
    <t>OPTION D | Replace Full Fleet - New OneCare 5-Year on All Units</t>
  </si>
  <si>
    <t>Trade-in credit - full old fleet retired ( Yr 1)</t>
  </si>
  <si>
    <t>OneCare 5-yr on replacement units only (Yr 1)</t>
  </si>
  <si>
    <t>OneCare 5-yr on full replacement fleet (Yr 1)</t>
  </si>
  <si>
    <t>D  -  Replace Full Fleet + New OneCare</t>
  </si>
  <si>
    <t>C  -  Replace Dead Units Only</t>
  </si>
  <si>
    <t>B  -  Retro OneCare 5-Yr + Warranty Repair Dead</t>
  </si>
  <si>
    <t>A  -  Retro OneCare 3-Yr + Warranty Repair Dead</t>
  </si>
  <si>
    <t>OPTION D - ANNUAL COST</t>
  </si>
  <si>
    <t>Out of-pocket repairs - unprotected surviving units (Yrs 1-5)</t>
  </si>
  <si>
    <t>1 yr left</t>
  </si>
  <si>
    <t>3 years left</t>
  </si>
  <si>
    <t>0 yrs(original fleet)</t>
  </si>
  <si>
    <t>5 yr (full fleet)</t>
  </si>
  <si>
    <t>HIGH — exposed Yrs 2–5</t>
  </si>
  <si>
    <t>LOW — fully covered</t>
  </si>
  <si>
    <t>MED — exposed Yrs 4-5</t>
  </si>
  <si>
    <t>Fleet Metric</t>
  </si>
  <si>
    <t>Detail</t>
  </si>
  <si>
    <t>2,500 units</t>
  </si>
  <si>
    <t>Devices lost (failed)</t>
  </si>
  <si>
    <t>Surviving units</t>
  </si>
  <si>
    <t>2,125 units</t>
  </si>
  <si>
    <t>Projected annual failure rate</t>
  </si>
  <si>
    <t>10% (Yr 1) + 2%/yr</t>
  </si>
  <si>
    <t>OneCare contract status</t>
  </si>
  <si>
    <t>Expired 2024</t>
  </si>
  <si>
    <t>Option</t>
  </si>
  <si>
    <t>Yr-1 Outlay</t>
  </si>
  <si>
    <t>Risk</t>
  </si>
  <si>
    <t>HIGH</t>
  </si>
  <si>
    <t>MEDIUM</t>
  </si>
  <si>
    <t>C  —  Replace Dead Units Only</t>
  </si>
  <si>
    <t>LOW</t>
  </si>
  <si>
    <t>Recommended action:</t>
  </si>
  <si>
    <t>Option D  —  Replace Full Fleet  +  New OneCare 5-Year</t>
  </si>
  <si>
    <t>Rank(lowest cost)</t>
  </si>
  <si>
    <t>WT64 FLEET  -  REPLACEMENT vs. REPAIR  -  EXECUTIVE SUMMARY</t>
  </si>
  <si>
    <t>Fleet Asset Cost-Benefit Analysis  |  Jackson Kerins, August 2026</t>
  </si>
  <si>
    <t>SITUATION | FLEET BACKGROUND</t>
  </si>
  <si>
    <t>Original Fleet Size</t>
  </si>
  <si>
    <t>375 units</t>
  </si>
  <si>
    <t>OPTIONS AT A GLANCE | 5-YEAR COST COMPARISON</t>
  </si>
  <si>
    <t xml:space="preserve">5-Yr Total </t>
  </si>
  <si>
    <t xml:space="preserve">D  —  Replace Full Fleet </t>
  </si>
  <si>
    <t xml:space="preserve">B  —  Retro OneCare 5-Yr </t>
  </si>
  <si>
    <t>A  —  Retro OneCare 3-Yr</t>
  </si>
  <si>
    <t>RECOMMENDATION</t>
  </si>
  <si>
    <t>Cost premium vs. Option C (lowest cost)</t>
  </si>
  <si>
    <t>Productivity Loss Assumptions</t>
  </si>
  <si>
    <t>Average hourly wage of device operator</t>
  </si>
  <si>
    <t>Work hours per day</t>
  </si>
  <si>
    <t>Downtime days per failure - under OneCare</t>
  </si>
  <si>
    <t>Downtime days per failure - out of contract</t>
  </si>
  <si>
    <t>Hourly cost per employee using the device</t>
  </si>
  <si>
    <t>Standard working hours per day - converts downtime days to hours</t>
  </si>
  <si>
    <t>OneCare advance exchange: replacement shipped before you return broken device - typically 1-2 days</t>
  </si>
  <si>
    <t>No contract: ship in, get quote, approve repair, ship back - typically 7-14 days</t>
  </si>
  <si>
    <t>Productivity loss — downtime (under contract Yr 1 only, exposed Yrs 2-5)</t>
  </si>
  <si>
    <t>Productivity loss — downtime (under contract Yrs 1-3, exposed Yrs 4-5)</t>
  </si>
  <si>
    <t>Productivity loss — downtime on unprotected survivors (no contract, Yrs 1-5)</t>
  </si>
  <si>
    <t>Productivity loss — downtime under OneCare (new fleet, Yrs 1-5)</t>
  </si>
  <si>
    <t>HIGH — originals exposed</t>
  </si>
  <si>
    <t>SECTION 3 | SUMMARY SCORECARD</t>
  </si>
  <si>
    <t>Price of new WT64 device</t>
  </si>
  <si>
    <t>Avg Downtime - under OneCare</t>
  </si>
  <si>
    <t>Avg Downtime - out of contract</t>
  </si>
  <si>
    <t>Productivity Loss</t>
  </si>
  <si>
    <t>Productivity loss — downtime on replacement units(under OneCare, Yrs 1-5)</t>
  </si>
  <si>
    <t>$1,062,752 - justified by risk elimination and operational certainty</t>
  </si>
  <si>
    <t>5-Year total cost including productivity:</t>
  </si>
  <si>
    <t>Productivity loss avoided vs. Option C:</t>
  </si>
  <si>
    <t>Dead and unrepairable without retroactive OneCare re-enrollment</t>
  </si>
  <si>
    <t>Industry-standard aging acceleration for 5-yr-old mobile hardware</t>
  </si>
  <si>
    <t>Advance exchange: replacement shipped before broken device returned</t>
  </si>
  <si>
    <t>No contract: ship in, quote, approve, repair, return — real-world average 7-14 days</t>
  </si>
  <si>
    <t>3-year contract purchased at fleet acquisition — all devices now fully unprotected</t>
  </si>
  <si>
    <t>WT64 devices purchased 5 years ago - now fully outside original OneCare coverage</t>
  </si>
  <si>
    <t>Still operating - unprotected, 5 years old, failing at 10% annually and accelerating</t>
  </si>
  <si>
    <t>1.5 days/failure</t>
  </si>
  <si>
    <t>10 days/failure</t>
  </si>
  <si>
    <t>$2,144,308 saved in downtime costs by choosing Option D</t>
  </si>
  <si>
    <t>WHY OPTION D | RISK-ADJUSTED COST ANALYSIS</t>
  </si>
  <si>
    <t>Option C has the lowest nominal 5 year cost $3,487,4525. However, $2,381,985 of that total (68% of the entire cost) is uncontrolled productivity loss from 2,125 unprotected devices sitting broken for an average of 10 days per failure. Option D's productivity loss is only $237,677 (5% of its total cost) because new devices under OneCare average just 1.5 days to replace. The nominal $1,062,752 premium of Option D over Option C is almost entirely offset by $2,108,656 in avoided downtime costs.</t>
  </si>
  <si>
    <t>Cost Category</t>
  </si>
  <si>
    <t>Option C -- Replace Dead Only</t>
  </si>
  <si>
    <t>Option D -- Replace Full Fleet</t>
  </si>
  <si>
    <t>Device purchase cost</t>
  </si>
  <si>
    <t>OneCare contract cost</t>
  </si>
  <si>
    <t>Trade-in recovery</t>
  </si>
  <si>
    <t>OOP repair spend (5-yr)</t>
  </si>
  <si>
    <t>Productivity loss — downtime (5-yr)</t>
  </si>
  <si>
    <t>Surviving fleet coverage</t>
  </si>
  <si>
    <t>Failure rate of fleet</t>
  </si>
  <si>
    <t>Budget predictability</t>
  </si>
  <si>
    <t>5-YEAR TOTAL COST</t>
  </si>
  <si>
    <t>$532,500  (dead units only)</t>
  </si>
  <si>
    <t>$178,125  (new units only, 5-yr)</t>
  </si>
  <si>
    <t>$394,816  (unprotected survivors)</t>
  </si>
  <si>
    <t>NONE — 2,125 units unprotected for 5 years</t>
  </si>
  <si>
    <t>10-18% annually on aging devices</t>
  </si>
  <si>
    <t>LOW — OOP repairs are unplanned, variable spend</t>
  </si>
  <si>
    <t>$3,550,000  (full fleet)</t>
  </si>
  <si>
    <t>$1,187,500  (full fleet, 5-yr)</t>
  </si>
  <si>
    <t>$0  (fully covered under OneCare)</t>
  </si>
  <si>
    <t>$237,677  (1.5-day avg turnaround, OneCare)</t>
  </si>
  <si>
    <t>FULL — all 2,500 units under OneCare</t>
  </si>
  <si>
    <t>HIGH — all costs known upfront, zero surprise repairs</t>
  </si>
  <si>
    <t>$0 (dead devices cannot be traded in)</t>
  </si>
  <si>
    <t>-$425,000  (full fleet)</t>
  </si>
  <si>
    <t>$2,381,985 (10-day avg turnaround, no contract)</t>
  </si>
  <si>
    <t xml:space="preserve">~5-9% on new devices </t>
  </si>
  <si>
    <t>RATIONALE | 5 REASONS OPTION D IS THE RIGHT DECISION</t>
  </si>
  <si>
    <t xml:space="preserve">Finding </t>
  </si>
  <si>
    <t>Productivity loss nearly closes the cost gap</t>
  </si>
  <si>
    <t>Option C's downtime cost is uncontrollable</t>
  </si>
  <si>
    <t>Surviving units are at peak failure risk</t>
  </si>
  <si>
    <t>Full fleet replacement resets the lifecycle</t>
  </si>
  <si>
    <t>Trade-in recovery partially offsets the premium</t>
  </si>
  <si>
    <t>Option C's $1,062,752 cost advantage over Option D is significant on paper, but $2,381,985 of Option C's total cost is uncontrolled productivity loss - money that leaves the business as unplanned, unbudgeted expense every year. Option D's $237,677 in productivity loss is predictable because of OneCare's advance exchange program.</t>
  </si>
  <si>
    <t>$2,381,985 in productivity loss is not a budget line - it's unplanned, unpredictable spend that operations will have to deal with every year. Option D's $237,677 is modeled but managable under OneCare's advance exchange program.</t>
  </si>
  <si>
    <t>At 10% base failure rate accelerating an additional 2% a year, the 2,175 surviving units will fail at ~16-18% annually by Years 4-5. Option C leaves all of them unprotected with no ceiling on repair or downtime costs.</t>
  </si>
  <si>
    <t>New WT64s under a fresh 5-year contract give the customer a known cost structure for the next 5 years and a device generation at manufacturer fail rates, not EOL rates. Option C only kicks the problem down the road a few years, in a very expensive way.</t>
  </si>
  <si>
    <t>Option D recovers $425,000 in trade-in credits on the full fleet vs. nothing under Option C. This partially reduces Option D's effective upfront outlay and should be factored into the cash flow analysis alongside the 5-year cost comparison.</t>
  </si>
  <si>
    <t xml:space="preserve"> Key assumptions: 2,500 units | 15% failure rate | WT64 @ $1,420/unit | OOP repair @ $350/unit | Base failure rate 10% (+2%/yr) | Wage $26/hr × 8 hrs/day | Downtime: 1.5 days (OneCare) vs 10 days (no contract) | Trade-in $200/unit  |  See 'Cost-Benefit Model' tab for full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</si>
</sst>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164" formatCode="0.0%"/>
    <numFmt numFmtId="165" formatCode="&quot;$&quot;#,##0"/>
    <numFmt numFmtId="166" formatCode="\$#,##0"/>
    <numFmt numFmtId="167" formatCode="0.0_);\(0.0\)"/>
  </numFmts>
  <fonts count="5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sz val="18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3" tint="0.249977111117893"/>
      <name val="Calibri"/>
      <family val="2"/>
    </font>
    <font>
      <sz val="8"/>
      <color theme="3" tint="0.499984740745262"/>
      <name val="Calibri"/>
      <family val="2"/>
    </font>
    <font>
      <sz val="7"/>
      <color theme="1"/>
      <name val="Calibri"/>
      <family val="2"/>
    </font>
    <font>
      <b/>
      <sz val="10"/>
      <color theme="3" tint="0.249977111117893"/>
      <name val="Calibri"/>
      <family val="2"/>
    </font>
    <font>
      <sz val="10"/>
      <color theme="1"/>
      <name val="Calibri"/>
      <family val="2"/>
    </font>
    <font>
      <sz val="10"/>
      <color theme="3" tint="0.499984740745262"/>
      <name val="Calibri"/>
      <family val="2"/>
    </font>
    <font>
      <b/>
      <sz val="10"/>
      <color theme="3" tint="0.499984740745262"/>
      <name val="Calibri"/>
      <family val="2"/>
    </font>
    <font>
      <b/>
      <sz val="9"/>
      <color theme="3" tint="0.249977111117893"/>
      <name val="Calibri"/>
      <family val="2"/>
    </font>
    <font>
      <b/>
      <sz val="10"/>
      <color theme="0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9" tint="-0.249977111117893"/>
      <name val="Calibri"/>
      <family val="2"/>
    </font>
    <font>
      <b/>
      <sz val="9"/>
      <color theme="9" tint="-0.249977111117893"/>
      <name val="Calibri"/>
      <family val="2"/>
    </font>
    <font>
      <b/>
      <sz val="10"/>
      <color theme="9" tint="-0.249977111117893"/>
      <name val="Calibri"/>
      <family val="2"/>
    </font>
    <font>
      <sz val="6"/>
      <color rgb="FF000000"/>
      <name val="Calibri"/>
      <family val="2"/>
    </font>
    <font>
      <b/>
      <sz val="9"/>
      <color rgb="FF7030A0"/>
      <name val="Calibri"/>
      <family val="2"/>
    </font>
    <font>
      <b/>
      <sz val="10"/>
      <color rgb="FF7030A0"/>
      <name val="Calibri"/>
      <family val="2"/>
    </font>
    <font>
      <b/>
      <sz val="8"/>
      <color rgb="FF7030A0"/>
      <name val="Calibri"/>
      <family val="2"/>
    </font>
    <font>
      <b/>
      <sz val="8"/>
      <color theme="5"/>
      <name val="Calibri"/>
      <family val="2"/>
    </font>
    <font>
      <b/>
      <sz val="10"/>
      <color theme="5"/>
      <name val="Calibri"/>
      <family val="2"/>
    </font>
    <font>
      <b/>
      <sz val="11"/>
      <color theme="3" tint="0.249977111117893"/>
      <name val="Calibri"/>
      <family val="2"/>
    </font>
    <font>
      <b/>
      <sz val="11"/>
      <color theme="9" tint="-0.249977111117893"/>
      <name val="Calibri"/>
      <family val="2"/>
    </font>
    <font>
      <b/>
      <sz val="9"/>
      <color theme="5"/>
      <name val="Calibri"/>
      <family val="2"/>
    </font>
    <font>
      <b/>
      <sz val="13"/>
      <color rgb="FFFFFFFF"/>
      <name val="Calibri"/>
      <family val="2"/>
    </font>
    <font>
      <sz val="9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9" tint="-0.249977111117893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theme="8" tint="-0.249977111117893"/>
      <name val="Calibri"/>
      <family val="2"/>
    </font>
    <font>
      <sz val="8"/>
      <color theme="8" tint="-0.249977111117893"/>
      <name val="Calibri"/>
      <family val="2"/>
    </font>
    <font>
      <sz val="8"/>
      <color theme="9" tint="-0.249977111117893"/>
      <name val="Calibri"/>
      <family val="2"/>
    </font>
    <font>
      <sz val="8"/>
      <color rgb="FFD9D9D9"/>
      <name val="Calibri"/>
      <family val="2"/>
    </font>
    <font>
      <sz val="10"/>
      <color theme="9" tint="-0.249977111117893"/>
      <name val="Calibri"/>
      <family val="2"/>
    </font>
    <font>
      <sz val="10"/>
      <color theme="8" tint="-0.249977111117893"/>
      <name val="Calibri"/>
      <family val="2"/>
    </font>
    <font>
      <b/>
      <sz val="9"/>
      <color theme="8" tint="-0.249977111117893"/>
      <name val="Calibri"/>
      <family val="2"/>
    </font>
    <font>
      <sz val="10"/>
      <color theme="3" tint="0.249977111117893"/>
      <name val="Calibri"/>
      <family val="2"/>
    </font>
    <font>
      <sz val="10"/>
      <color theme="5" tint="-0.249977111117893"/>
      <name val="Calibri"/>
      <family val="2"/>
    </font>
    <font>
      <b/>
      <sz val="9"/>
      <color theme="5" tint="-0.249977111117893"/>
      <name val="Calibri"/>
      <family val="2"/>
    </font>
    <font>
      <b/>
      <sz val="11"/>
      <color theme="8" tint="-0.249977111117893"/>
      <name val="Calibri"/>
      <family val="2"/>
    </font>
    <font>
      <b/>
      <sz val="10"/>
      <color theme="5" tint="-0.249977111117893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CF0C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rgb="FFFFF2CC"/>
      </patternFill>
    </fill>
    <fill>
      <patternFill patternType="solid">
        <fgColor theme="3" tint="0.89999084444715716"/>
        <bgColor rgb="FFE2EFDA"/>
      </patternFill>
    </fill>
    <fill>
      <patternFill patternType="solid">
        <fgColor theme="3" tint="0.89999084444715716"/>
        <bgColor rgb="FFFFF2CC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9" tint="0.79998168889431442"/>
        <bgColor rgb="FFDEEAF1"/>
      </patternFill>
    </fill>
    <fill>
      <patternFill patternType="solid">
        <fgColor theme="9" tint="0.79998168889431442"/>
        <bgColor rgb="FFFFF2CC"/>
      </patternFill>
    </fill>
    <fill>
      <patternFill patternType="solid">
        <fgColor rgb="FF2F5496"/>
        <bgColor rgb="FF215F9A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FCE4D6"/>
        <bgColor rgb="FFFBE3D6"/>
      </patternFill>
    </fill>
    <fill>
      <patternFill patternType="solid">
        <fgColor rgb="FFDEEAF1"/>
        <bgColor rgb="FFDCEAF7"/>
      </patternFill>
    </fill>
    <fill>
      <patternFill patternType="solid">
        <fgColor theme="3" tint="0.249977111117893"/>
        <bgColor rgb="FF2F5496"/>
      </patternFill>
    </fill>
    <fill>
      <patternFill patternType="solid">
        <fgColor theme="8" tint="0.79998168889431442"/>
        <bgColor rgb="FFECF0C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rgb="FFD9F2D0"/>
      </patternFill>
    </fill>
    <fill>
      <patternFill patternType="solid">
        <fgColor rgb="FFEAEAEA"/>
        <bgColor rgb="FFFFFFFF"/>
      </patternFill>
    </fill>
    <fill>
      <patternFill patternType="solid">
        <fgColor rgb="FFEAEAEA"/>
        <bgColor indexed="64"/>
      </patternFill>
    </fill>
    <fill>
      <patternFill patternType="solid">
        <fgColor theme="5" tint="0.79998168889431442"/>
        <bgColor rgb="FFFBE3D6"/>
      </patternFill>
    </fill>
  </fills>
  <borders count="4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0" tint="-0.249977111117893"/>
      </left>
      <right/>
      <top style="medium">
        <color theme="1"/>
      </top>
      <bottom/>
      <diagonal/>
    </border>
    <border>
      <left style="medium">
        <color theme="1"/>
      </left>
      <right style="thin">
        <color theme="0" tint="-0.249977111117893"/>
      </right>
      <top style="medium">
        <color theme="1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2" fillId="5" borderId="2" applyFont="0" applyFill="0" applyBorder="0"/>
    <xf numFmtId="0" fontId="10" fillId="7" borderId="2"/>
  </cellStyleXfs>
  <cellXfs count="218">
    <xf numFmtId="0" fontId="0" fillId="0" borderId="0" xfId="0"/>
    <xf numFmtId="0" fontId="7" fillId="0" borderId="0" xfId="0" applyFont="1"/>
    <xf numFmtId="0" fontId="8" fillId="6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center"/>
    </xf>
    <xf numFmtId="0" fontId="14" fillId="7" borderId="2" xfId="3" applyFont="1"/>
    <xf numFmtId="164" fontId="14" fillId="7" borderId="2" xfId="3" applyNumberFormat="1" applyFont="1"/>
    <xf numFmtId="165" fontId="14" fillId="7" borderId="2" xfId="3" applyNumberFormat="1" applyFont="1"/>
    <xf numFmtId="0" fontId="13" fillId="0" borderId="0" xfId="0" applyFont="1"/>
    <xf numFmtId="0" fontId="3" fillId="6" borderId="0" xfId="0" applyFont="1" applyFill="1" applyAlignment="1">
      <alignment horizontal="left" vertical="center"/>
    </xf>
    <xf numFmtId="164" fontId="14" fillId="6" borderId="0" xfId="1" applyNumberFormat="1" applyFont="1" applyFill="1" applyBorder="1"/>
    <xf numFmtId="0" fontId="15" fillId="5" borderId="0" xfId="0" applyFont="1" applyFill="1" applyAlignment="1">
      <alignment horizontal="left"/>
    </xf>
    <xf numFmtId="0" fontId="13" fillId="5" borderId="0" xfId="0" applyFont="1" applyFill="1"/>
    <xf numFmtId="0" fontId="0" fillId="4" borderId="8" xfId="0" applyFill="1" applyBorder="1"/>
    <xf numFmtId="0" fontId="0" fillId="4" borderId="10" xfId="0" applyFill="1" applyBorder="1"/>
    <xf numFmtId="0" fontId="19" fillId="6" borderId="0" xfId="0" applyFont="1" applyFill="1" applyAlignment="1">
      <alignment horizontal="center"/>
    </xf>
    <xf numFmtId="0" fontId="0" fillId="0" borderId="23" xfId="0" applyBorder="1"/>
    <xf numFmtId="0" fontId="23" fillId="15" borderId="3" xfId="0" applyFont="1" applyFill="1" applyBorder="1" applyAlignment="1">
      <alignment horizontal="center" vertical="center"/>
    </xf>
    <xf numFmtId="0" fontId="16" fillId="17" borderId="3" xfId="0" applyFont="1" applyFill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0" fontId="23" fillId="18" borderId="3" xfId="0" applyFont="1" applyFill="1" applyBorder="1" applyAlignment="1">
      <alignment horizontal="center" vertical="center"/>
    </xf>
    <xf numFmtId="0" fontId="23" fillId="20" borderId="3" xfId="0" applyFont="1" applyFill="1" applyBorder="1" applyAlignment="1">
      <alignment horizontal="center" vertical="center"/>
    </xf>
    <xf numFmtId="0" fontId="21" fillId="21" borderId="3" xfId="0" applyFont="1" applyFill="1" applyBorder="1" applyAlignment="1">
      <alignment horizontal="center" vertical="center"/>
    </xf>
    <xf numFmtId="0" fontId="24" fillId="19" borderId="3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/>
    </xf>
    <xf numFmtId="0" fontId="26" fillId="11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27" fillId="10" borderId="2" xfId="0" applyFont="1" applyFill="1" applyBorder="1" applyAlignment="1">
      <alignment horizontal="center"/>
    </xf>
    <xf numFmtId="0" fontId="31" fillId="15" borderId="3" xfId="0" applyFont="1" applyFill="1" applyBorder="1" applyAlignment="1">
      <alignment horizontal="center" vertical="center"/>
    </xf>
    <xf numFmtId="165" fontId="28" fillId="10" borderId="2" xfId="0" applyNumberFormat="1" applyFont="1" applyFill="1" applyBorder="1"/>
    <xf numFmtId="165" fontId="12" fillId="5" borderId="2" xfId="0" applyNumberFormat="1" applyFont="1" applyFill="1" applyBorder="1"/>
    <xf numFmtId="165" fontId="12" fillId="5" borderId="4" xfId="0" applyNumberFormat="1" applyFont="1" applyFill="1" applyBorder="1"/>
    <xf numFmtId="165" fontId="25" fillId="11" borderId="2" xfId="0" applyNumberFormat="1" applyFont="1" applyFill="1" applyBorder="1"/>
    <xf numFmtId="165" fontId="25" fillId="11" borderId="4" xfId="0" applyNumberFormat="1" applyFont="1" applyFill="1" applyBorder="1"/>
    <xf numFmtId="165" fontId="22" fillId="14" borderId="2" xfId="0" applyNumberFormat="1" applyFont="1" applyFill="1" applyBorder="1"/>
    <xf numFmtId="165" fontId="22" fillId="14" borderId="7" xfId="0" applyNumberFormat="1" applyFont="1" applyFill="1" applyBorder="1"/>
    <xf numFmtId="0" fontId="11" fillId="10" borderId="2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11" fillId="14" borderId="2" xfId="0" applyFont="1" applyFill="1" applyBorder="1" applyAlignment="1">
      <alignment horizontal="center"/>
    </xf>
    <xf numFmtId="0" fontId="17" fillId="3" borderId="21" xfId="0" applyFont="1" applyFill="1" applyBorder="1"/>
    <xf numFmtId="0" fontId="13" fillId="0" borderId="27" xfId="0" applyFont="1" applyBorder="1"/>
    <xf numFmtId="0" fontId="13" fillId="5" borderId="28" xfId="0" applyFont="1" applyFill="1" applyBorder="1"/>
    <xf numFmtId="0" fontId="13" fillId="8" borderId="5" xfId="0" applyFont="1" applyFill="1" applyBorder="1" applyAlignment="1">
      <alignment horizontal="center"/>
    </xf>
    <xf numFmtId="0" fontId="0" fillId="3" borderId="20" xfId="0" applyFill="1" applyBorder="1"/>
    <xf numFmtId="0" fontId="13" fillId="3" borderId="21" xfId="0" applyFont="1" applyFill="1" applyBorder="1"/>
    <xf numFmtId="0" fontId="7" fillId="3" borderId="22" xfId="0" applyFont="1" applyFill="1" applyBorder="1"/>
    <xf numFmtId="0" fontId="11" fillId="6" borderId="5" xfId="0" applyFont="1" applyFill="1" applyBorder="1" applyAlignment="1">
      <alignment horizontal="center"/>
    </xf>
    <xf numFmtId="0" fontId="7" fillId="3" borderId="20" xfId="0" applyFont="1" applyFill="1" applyBorder="1"/>
    <xf numFmtId="0" fontId="19" fillId="6" borderId="2" xfId="0" applyFont="1" applyFill="1" applyBorder="1" applyAlignment="1">
      <alignment horizontal="center"/>
    </xf>
    <xf numFmtId="0" fontId="13" fillId="0" borderId="2" xfId="0" applyFont="1" applyBorder="1"/>
    <xf numFmtId="0" fontId="19" fillId="6" borderId="5" xfId="0" applyFont="1" applyFill="1" applyBorder="1"/>
    <xf numFmtId="0" fontId="17" fillId="3" borderId="33" xfId="0" applyFont="1" applyFill="1" applyBorder="1"/>
    <xf numFmtId="0" fontId="7" fillId="3" borderId="33" xfId="0" applyFont="1" applyFill="1" applyBorder="1"/>
    <xf numFmtId="0" fontId="0" fillId="29" borderId="20" xfId="0" applyFill="1" applyBorder="1"/>
    <xf numFmtId="0" fontId="7" fillId="29" borderId="22" xfId="0" applyFont="1" applyFill="1" applyBorder="1"/>
    <xf numFmtId="5" fontId="7" fillId="14" borderId="5" xfId="0" applyNumberFormat="1" applyFont="1" applyFill="1" applyBorder="1"/>
    <xf numFmtId="5" fontId="7" fillId="14" borderId="4" xfId="0" applyNumberFormat="1" applyFont="1" applyFill="1" applyBorder="1"/>
    <xf numFmtId="5" fontId="30" fillId="14" borderId="20" xfId="0" applyNumberFormat="1" applyFont="1" applyFill="1" applyBorder="1"/>
    <xf numFmtId="5" fontId="30" fillId="14" borderId="19" xfId="0" applyNumberFormat="1" applyFont="1" applyFill="1" applyBorder="1"/>
    <xf numFmtId="5" fontId="13" fillId="10" borderId="5" xfId="0" applyNumberFormat="1" applyFont="1" applyFill="1" applyBorder="1"/>
    <xf numFmtId="5" fontId="13" fillId="10" borderId="2" xfId="0" applyNumberFormat="1" applyFont="1" applyFill="1" applyBorder="1"/>
    <xf numFmtId="5" fontId="13" fillId="10" borderId="4" xfId="0" applyNumberFormat="1" applyFont="1" applyFill="1" applyBorder="1"/>
    <xf numFmtId="5" fontId="7" fillId="5" borderId="5" xfId="0" applyNumberFormat="1" applyFont="1" applyFill="1" applyBorder="1"/>
    <xf numFmtId="5" fontId="7" fillId="5" borderId="2" xfId="0" applyNumberFormat="1" applyFont="1" applyFill="1" applyBorder="1"/>
    <xf numFmtId="5" fontId="7" fillId="5" borderId="4" xfId="0" applyNumberFormat="1" applyFont="1" applyFill="1" applyBorder="1"/>
    <xf numFmtId="5" fontId="29" fillId="5" borderId="20" xfId="0" applyNumberFormat="1" applyFont="1" applyFill="1" applyBorder="1"/>
    <xf numFmtId="5" fontId="29" fillId="5" borderId="19" xfId="0" applyNumberFormat="1" applyFont="1" applyFill="1" applyBorder="1"/>
    <xf numFmtId="5" fontId="7" fillId="11" borderId="5" xfId="0" applyNumberFormat="1" applyFont="1" applyFill="1" applyBorder="1"/>
    <xf numFmtId="5" fontId="7" fillId="11" borderId="4" xfId="0" applyNumberFormat="1" applyFont="1" applyFill="1" applyBorder="1"/>
    <xf numFmtId="5" fontId="7" fillId="11" borderId="2" xfId="0" applyNumberFormat="1" applyFont="1" applyFill="1" applyBorder="1"/>
    <xf numFmtId="0" fontId="4" fillId="6" borderId="0" xfId="0" applyFont="1" applyFill="1" applyAlignment="1">
      <alignment horizontal="left" vertical="center"/>
    </xf>
    <xf numFmtId="0" fontId="13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 vertical="center"/>
    </xf>
    <xf numFmtId="7" fontId="14" fillId="7" borderId="2" xfId="3" applyNumberFormat="1" applyFont="1"/>
    <xf numFmtId="167" fontId="14" fillId="7" borderId="2" xfId="3" applyNumberFormat="1" applyFont="1"/>
    <xf numFmtId="166" fontId="3" fillId="25" borderId="2" xfId="0" applyNumberFormat="1" applyFont="1" applyFill="1" applyBorder="1" applyAlignment="1">
      <alignment horizontal="right" vertical="center"/>
    </xf>
    <xf numFmtId="0" fontId="17" fillId="29" borderId="33" xfId="0" applyFont="1" applyFill="1" applyBorder="1"/>
    <xf numFmtId="0" fontId="7" fillId="29" borderId="33" xfId="0" applyFont="1" applyFill="1" applyBorder="1"/>
    <xf numFmtId="0" fontId="34" fillId="30" borderId="2" xfId="0" applyFont="1" applyFill="1" applyBorder="1" applyAlignment="1">
      <alignment horizontal="left" vertical="center"/>
    </xf>
    <xf numFmtId="5" fontId="0" fillId="0" borderId="0" xfId="0" applyNumberFormat="1"/>
    <xf numFmtId="0" fontId="35" fillId="14" borderId="5" xfId="0" applyFont="1" applyFill="1" applyBorder="1"/>
    <xf numFmtId="0" fontId="0" fillId="3" borderId="21" xfId="0" applyFill="1" applyBorder="1"/>
    <xf numFmtId="0" fontId="0" fillId="3" borderId="22" xfId="0" applyFill="1" applyBorder="1"/>
    <xf numFmtId="7" fontId="0" fillId="0" borderId="0" xfId="0" applyNumberFormat="1"/>
    <xf numFmtId="0" fontId="37" fillId="24" borderId="2" xfId="0" applyFont="1" applyFill="1" applyBorder="1" applyAlignment="1">
      <alignment horizontal="left" vertical="center" wrapText="1"/>
    </xf>
    <xf numFmtId="0" fontId="38" fillId="24" borderId="2" xfId="0" applyFont="1" applyFill="1" applyBorder="1" applyAlignment="1">
      <alignment horizontal="left" vertical="center" wrapText="1"/>
    </xf>
    <xf numFmtId="0" fontId="35" fillId="6" borderId="2" xfId="0" applyFont="1" applyFill="1" applyBorder="1"/>
    <xf numFmtId="0" fontId="13" fillId="6" borderId="40" xfId="0" applyFont="1" applyFill="1" applyBorder="1"/>
    <xf numFmtId="0" fontId="0" fillId="3" borderId="41" xfId="0" applyFill="1" applyBorder="1"/>
    <xf numFmtId="0" fontId="17" fillId="3" borderId="42" xfId="0" applyFont="1" applyFill="1" applyBorder="1"/>
    <xf numFmtId="0" fontId="0" fillId="3" borderId="42" xfId="0" applyFill="1" applyBorder="1"/>
    <xf numFmtId="0" fontId="0" fillId="3" borderId="43" xfId="0" applyFill="1" applyBorder="1"/>
    <xf numFmtId="0" fontId="37" fillId="31" borderId="2" xfId="0" applyFont="1" applyFill="1" applyBorder="1" applyAlignment="1">
      <alignment horizontal="left" vertical="center" wrapText="1"/>
    </xf>
    <xf numFmtId="0" fontId="38" fillId="31" borderId="2" xfId="0" applyFont="1" applyFill="1" applyBorder="1" applyAlignment="1">
      <alignment horizontal="left" vertical="center" wrapText="1"/>
    </xf>
    <xf numFmtId="0" fontId="22" fillId="14" borderId="19" xfId="0" applyFont="1" applyFill="1" applyBorder="1"/>
    <xf numFmtId="0" fontId="22" fillId="30" borderId="29" xfId="0" applyFont="1" applyFill="1" applyBorder="1" applyAlignment="1">
      <alignment horizontal="left" vertical="center"/>
    </xf>
    <xf numFmtId="0" fontId="21" fillId="30" borderId="29" xfId="0" applyFont="1" applyFill="1" applyBorder="1" applyAlignment="1">
      <alignment horizontal="center" vertical="center"/>
    </xf>
    <xf numFmtId="0" fontId="44" fillId="28" borderId="2" xfId="0" applyFont="1" applyFill="1" applyBorder="1" applyAlignment="1">
      <alignment horizontal="left" vertical="center"/>
    </xf>
    <xf numFmtId="0" fontId="45" fillId="28" borderId="2" xfId="0" applyFont="1" applyFill="1" applyBorder="1" applyAlignment="1">
      <alignment horizontal="center" vertical="center"/>
    </xf>
    <xf numFmtId="0" fontId="46" fillId="26" borderId="2" xfId="0" applyFont="1" applyFill="1" applyBorder="1" applyAlignment="1">
      <alignment horizontal="left" vertical="center"/>
    </xf>
    <xf numFmtId="0" fontId="16" fillId="26" borderId="2" xfId="0" applyFont="1" applyFill="1" applyBorder="1" applyAlignment="1">
      <alignment horizontal="center" vertical="center"/>
    </xf>
    <xf numFmtId="0" fontId="47" fillId="33" borderId="2" xfId="0" applyFont="1" applyFill="1" applyBorder="1" applyAlignment="1">
      <alignment horizontal="left" vertical="center"/>
    </xf>
    <xf numFmtId="0" fontId="48" fillId="33" borderId="2" xfId="0" applyFont="1" applyFill="1" applyBorder="1" applyAlignment="1">
      <alignment horizontal="center" vertical="center"/>
    </xf>
    <xf numFmtId="5" fontId="49" fillId="11" borderId="20" xfId="0" applyNumberFormat="1" applyFont="1" applyFill="1" applyBorder="1"/>
    <xf numFmtId="5" fontId="49" fillId="11" borderId="19" xfId="0" applyNumberFormat="1" applyFont="1" applyFill="1" applyBorder="1"/>
    <xf numFmtId="5" fontId="50" fillId="10" borderId="20" xfId="0" applyNumberFormat="1" applyFont="1" applyFill="1" applyBorder="1"/>
    <xf numFmtId="5" fontId="50" fillId="10" borderId="19" xfId="0" applyNumberFormat="1" applyFont="1" applyFill="1" applyBorder="1"/>
    <xf numFmtId="0" fontId="8" fillId="0" borderId="44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31" borderId="2" xfId="0" applyFont="1" applyFill="1" applyBorder="1" applyAlignment="1">
      <alignment horizontal="left" vertical="center" wrapText="1"/>
    </xf>
    <xf numFmtId="0" fontId="13" fillId="6" borderId="40" xfId="0" applyFont="1" applyFill="1" applyBorder="1"/>
    <xf numFmtId="0" fontId="8" fillId="32" borderId="44" xfId="0" applyFont="1" applyFill="1" applyBorder="1" applyAlignment="1">
      <alignment horizontal="left" vertical="center" wrapText="1"/>
    </xf>
    <xf numFmtId="0" fontId="8" fillId="32" borderId="38" xfId="0" applyFont="1" applyFill="1" applyBorder="1" applyAlignment="1">
      <alignment horizontal="left" vertical="center" wrapText="1"/>
    </xf>
    <xf numFmtId="0" fontId="8" fillId="32" borderId="39" xfId="0" applyFont="1" applyFill="1" applyBorder="1" applyAlignment="1">
      <alignment horizontal="left" vertical="center" wrapText="1"/>
    </xf>
    <xf numFmtId="5" fontId="39" fillId="11" borderId="2" xfId="0" applyNumberFormat="1" applyFont="1" applyFill="1" applyBorder="1" applyAlignment="1">
      <alignment horizontal="left"/>
    </xf>
    <xf numFmtId="49" fontId="41" fillId="24" borderId="2" xfId="0" applyNumberFormat="1" applyFont="1" applyFill="1" applyBorder="1" applyAlignment="1">
      <alignment horizontal="left" vertical="center" wrapText="1"/>
    </xf>
    <xf numFmtId="49" fontId="41" fillId="31" borderId="2" xfId="0" applyNumberFormat="1" applyFont="1" applyFill="1" applyBorder="1" applyAlignment="1">
      <alignment horizontal="left" vertical="center" wrapText="1"/>
    </xf>
    <xf numFmtId="5" fontId="22" fillId="14" borderId="2" xfId="0" applyNumberFormat="1" applyFont="1" applyFill="1" applyBorder="1" applyAlignment="1">
      <alignment horizontal="left"/>
    </xf>
    <xf numFmtId="49" fontId="40" fillId="31" borderId="2" xfId="0" applyNumberFormat="1" applyFont="1" applyFill="1" applyBorder="1" applyAlignment="1">
      <alignment horizontal="left" vertical="center" wrapText="1"/>
    </xf>
    <xf numFmtId="49" fontId="40" fillId="24" borderId="2" xfId="0" applyNumberFormat="1" applyFont="1" applyFill="1" applyBorder="1" applyAlignment="1">
      <alignment horizontal="left" vertical="center" wrapText="1"/>
    </xf>
    <xf numFmtId="0" fontId="39" fillId="11" borderId="2" xfId="0" applyFont="1" applyFill="1" applyBorder="1" applyAlignment="1">
      <alignment horizontal="center"/>
    </xf>
    <xf numFmtId="0" fontId="22" fillId="14" borderId="2" xfId="0" applyFont="1" applyFill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3" fillId="23" borderId="2" xfId="0" applyFont="1" applyFill="1" applyBorder="1" applyAlignment="1">
      <alignment horizontal="left" vertical="center" wrapText="1"/>
    </xf>
    <xf numFmtId="0" fontId="36" fillId="14" borderId="2" xfId="0" applyFont="1" applyFill="1" applyBorder="1"/>
    <xf numFmtId="0" fontId="43" fillId="14" borderId="20" xfId="0" applyFont="1" applyFill="1" applyBorder="1" applyAlignment="1">
      <alignment horizontal="left" vertical="top" wrapText="1"/>
    </xf>
    <xf numFmtId="0" fontId="43" fillId="14" borderId="21" xfId="0" applyFont="1" applyFill="1" applyBorder="1" applyAlignment="1">
      <alignment horizontal="left" vertical="top" wrapText="1"/>
    </xf>
    <xf numFmtId="0" fontId="43" fillId="14" borderId="22" xfId="0" applyFont="1" applyFill="1" applyBorder="1" applyAlignment="1">
      <alignment horizontal="left" vertical="top" wrapText="1"/>
    </xf>
    <xf numFmtId="0" fontId="30" fillId="30" borderId="35" xfId="0" applyFont="1" applyFill="1" applyBorder="1" applyAlignment="1">
      <alignment horizontal="left" vertical="center" wrapText="1"/>
    </xf>
    <xf numFmtId="0" fontId="30" fillId="30" borderId="36" xfId="0" applyFont="1" applyFill="1" applyBorder="1" applyAlignment="1">
      <alignment horizontal="left" vertical="center" wrapText="1"/>
    </xf>
    <xf numFmtId="0" fontId="30" fillId="30" borderId="37" xfId="0" applyFont="1" applyFill="1" applyBorder="1" applyAlignment="1">
      <alignment horizontal="left" vertical="center" wrapText="1"/>
    </xf>
    <xf numFmtId="6" fontId="30" fillId="30" borderId="35" xfId="0" applyNumberFormat="1" applyFont="1" applyFill="1" applyBorder="1" applyAlignment="1">
      <alignment horizontal="left" vertical="center" wrapText="1"/>
    </xf>
    <xf numFmtId="0" fontId="36" fillId="14" borderId="5" xfId="0" applyFont="1" applyFill="1" applyBorder="1"/>
    <xf numFmtId="166" fontId="44" fillId="28" borderId="2" xfId="0" applyNumberFormat="1" applyFont="1" applyFill="1" applyBorder="1" applyAlignment="1">
      <alignment horizontal="right" vertical="center"/>
    </xf>
    <xf numFmtId="5" fontId="44" fillId="28" borderId="2" xfId="0" applyNumberFormat="1" applyFont="1" applyFill="1" applyBorder="1" applyAlignment="1">
      <alignment vertical="center"/>
    </xf>
    <xf numFmtId="166" fontId="22" fillId="30" borderId="29" xfId="0" applyNumberFormat="1" applyFont="1" applyFill="1" applyBorder="1" applyAlignment="1">
      <alignment horizontal="right" vertical="center"/>
    </xf>
    <xf numFmtId="5" fontId="22" fillId="30" borderId="29" xfId="0" applyNumberFormat="1" applyFont="1" applyFill="1" applyBorder="1" applyAlignment="1">
      <alignment vertical="center"/>
    </xf>
    <xf numFmtId="5" fontId="46" fillId="26" borderId="2" xfId="0" applyNumberFormat="1" applyFont="1" applyFill="1" applyBorder="1" applyAlignment="1">
      <alignment vertical="center"/>
    </xf>
    <xf numFmtId="6" fontId="35" fillId="0" borderId="2" xfId="0" applyNumberFormat="1" applyFont="1" applyBorder="1" applyAlignment="1">
      <alignment horizontal="center"/>
    </xf>
    <xf numFmtId="0" fontId="33" fillId="24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center"/>
    </xf>
    <xf numFmtId="166" fontId="47" fillId="33" borderId="2" xfId="0" applyNumberFormat="1" applyFont="1" applyFill="1" applyBorder="1" applyAlignment="1">
      <alignment horizontal="right" vertical="center"/>
    </xf>
    <xf numFmtId="5" fontId="47" fillId="33" borderId="2" xfId="0" applyNumberFormat="1" applyFont="1" applyFill="1" applyBorder="1" applyAlignment="1">
      <alignment vertical="center"/>
    </xf>
    <xf numFmtId="166" fontId="46" fillId="26" borderId="2" xfId="0" applyNumberFormat="1" applyFont="1" applyFill="1" applyBorder="1" applyAlignment="1">
      <alignment horizontal="right" vertical="center"/>
    </xf>
    <xf numFmtId="0" fontId="32" fillId="27" borderId="29" xfId="0" applyFont="1" applyFill="1" applyBorder="1" applyAlignment="1">
      <alignment horizontal="center" vertical="center"/>
    </xf>
    <xf numFmtId="0" fontId="42" fillId="22" borderId="29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/>
    </xf>
    <xf numFmtId="0" fontId="19" fillId="6" borderId="5" xfId="0" applyFont="1" applyFill="1" applyBorder="1"/>
    <xf numFmtId="0" fontId="7" fillId="0" borderId="0" xfId="0" applyFont="1"/>
    <xf numFmtId="0" fontId="17" fillId="3" borderId="21" xfId="0" applyFont="1" applyFill="1" applyBorder="1"/>
    <xf numFmtId="0" fontId="17" fillId="3" borderId="22" xfId="0" applyFont="1" applyFill="1" applyBorder="1"/>
    <xf numFmtId="0" fontId="13" fillId="10" borderId="5" xfId="0" applyFont="1" applyFill="1" applyBorder="1"/>
    <xf numFmtId="0" fontId="13" fillId="10" borderId="2" xfId="0" applyFont="1" applyFill="1" applyBorder="1"/>
    <xf numFmtId="0" fontId="13" fillId="10" borderId="4" xfId="0" applyFont="1" applyFill="1" applyBorder="1"/>
    <xf numFmtId="0" fontId="17" fillId="4" borderId="20" xfId="0" applyFont="1" applyFill="1" applyBorder="1"/>
    <xf numFmtId="0" fontId="17" fillId="4" borderId="21" xfId="0" applyFont="1" applyFill="1" applyBorder="1"/>
    <xf numFmtId="0" fontId="17" fillId="4" borderId="22" xfId="0" applyFont="1" applyFill="1" applyBorder="1"/>
    <xf numFmtId="0" fontId="13" fillId="5" borderId="5" xfId="0" applyFont="1" applyFill="1" applyBorder="1"/>
    <xf numFmtId="0" fontId="50" fillId="10" borderId="20" xfId="0" applyFont="1" applyFill="1" applyBorder="1"/>
    <xf numFmtId="0" fontId="50" fillId="10" borderId="21" xfId="0" applyFont="1" applyFill="1" applyBorder="1"/>
    <xf numFmtId="0" fontId="0" fillId="0" borderId="0" xfId="0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3" fillId="5" borderId="4" xfId="0" applyFont="1" applyFill="1" applyBorder="1"/>
    <xf numFmtId="0" fontId="0" fillId="0" borderId="0" xfId="0"/>
    <xf numFmtId="0" fontId="13" fillId="14" borderId="24" xfId="0" applyFont="1" applyFill="1" applyBorder="1"/>
    <xf numFmtId="0" fontId="13" fillId="14" borderId="25" xfId="0" applyFont="1" applyFill="1" applyBorder="1"/>
    <xf numFmtId="0" fontId="13" fillId="14" borderId="26" xfId="0" applyFont="1" applyFill="1" applyBorder="1"/>
    <xf numFmtId="0" fontId="13" fillId="11" borderId="4" xfId="0" applyFont="1" applyFill="1" applyBorder="1"/>
    <xf numFmtId="0" fontId="13" fillId="11" borderId="5" xfId="0" applyFont="1" applyFill="1" applyBorder="1"/>
    <xf numFmtId="0" fontId="7" fillId="0" borderId="0" xfId="0" applyFont="1" applyAlignment="1">
      <alignment horizontal="center"/>
    </xf>
    <xf numFmtId="0" fontId="13" fillId="5" borderId="2" xfId="0" applyFont="1" applyFill="1" applyBorder="1"/>
    <xf numFmtId="0" fontId="12" fillId="5" borderId="20" xfId="0" applyFont="1" applyFill="1" applyBorder="1"/>
    <xf numFmtId="0" fontId="12" fillId="5" borderId="21" xfId="0" applyFont="1" applyFill="1" applyBorder="1"/>
    <xf numFmtId="0" fontId="17" fillId="12" borderId="20" xfId="0" applyFont="1" applyFill="1" applyBorder="1"/>
    <xf numFmtId="0" fontId="17" fillId="12" borderId="21" xfId="0" applyFont="1" applyFill="1" applyBorder="1"/>
    <xf numFmtId="0" fontId="17" fillId="12" borderId="22" xfId="0" applyFont="1" applyFill="1" applyBorder="1"/>
    <xf numFmtId="0" fontId="13" fillId="11" borderId="2" xfId="0" applyFont="1" applyFill="1" applyBorder="1"/>
    <xf numFmtId="0" fontId="39" fillId="11" borderId="20" xfId="0" applyFont="1" applyFill="1" applyBorder="1"/>
    <xf numFmtId="0" fontId="39" fillId="11" borderId="21" xfId="0" applyFont="1" applyFill="1" applyBorder="1"/>
    <xf numFmtId="0" fontId="22" fillId="14" borderId="20" xfId="0" applyFont="1" applyFill="1" applyBorder="1"/>
    <xf numFmtId="0" fontId="22" fillId="14" borderId="21" xfId="0" applyFont="1" applyFill="1" applyBorder="1"/>
    <xf numFmtId="0" fontId="17" fillId="13" borderId="20" xfId="0" applyFont="1" applyFill="1" applyBorder="1"/>
    <xf numFmtId="0" fontId="17" fillId="13" borderId="21" xfId="0" applyFont="1" applyFill="1" applyBorder="1"/>
    <xf numFmtId="0" fontId="17" fillId="13" borderId="22" xfId="0" applyFont="1" applyFill="1" applyBorder="1"/>
    <xf numFmtId="0" fontId="13" fillId="14" borderId="5" xfId="0" applyFont="1" applyFill="1" applyBorder="1"/>
    <xf numFmtId="0" fontId="13" fillId="14" borderId="4" xfId="0" applyFont="1" applyFill="1" applyBorder="1"/>
    <xf numFmtId="0" fontId="8" fillId="6" borderId="6" xfId="0" applyFont="1" applyFill="1" applyBorder="1" applyAlignment="1">
      <alignment horizontal="left"/>
    </xf>
    <xf numFmtId="0" fontId="8" fillId="6" borderId="0" xfId="0" applyFont="1" applyFill="1" applyAlignment="1">
      <alignment horizontal="left"/>
    </xf>
    <xf numFmtId="0" fontId="18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16" fillId="6" borderId="0" xfId="0" applyFont="1" applyFill="1" applyAlignment="1">
      <alignment horizontal="left"/>
    </xf>
    <xf numFmtId="0" fontId="6" fillId="4" borderId="9" xfId="0" applyFont="1" applyFill="1" applyBorder="1" applyAlignment="1">
      <alignment horizontal="center"/>
    </xf>
    <xf numFmtId="0" fontId="17" fillId="3" borderId="30" xfId="0" applyFont="1" applyFill="1" applyBorder="1"/>
    <xf numFmtId="0" fontId="17" fillId="3" borderId="31" xfId="0" applyFont="1" applyFill="1" applyBorder="1"/>
    <xf numFmtId="0" fontId="17" fillId="3" borderId="32" xfId="0" applyFont="1" applyFill="1" applyBorder="1"/>
    <xf numFmtId="0" fontId="13" fillId="8" borderId="5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13" fillId="8" borderId="34" xfId="0" applyFont="1" applyFill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6" fillId="6" borderId="0" xfId="0" applyFont="1" applyFill="1"/>
    <xf numFmtId="0" fontId="16" fillId="6" borderId="0" xfId="0" applyFont="1" applyFill="1" applyAlignment="1">
      <alignment horizontal="left" vertical="center"/>
    </xf>
    <xf numFmtId="0" fontId="17" fillId="9" borderId="20" xfId="0" applyFont="1" applyFill="1" applyBorder="1"/>
    <xf numFmtId="0" fontId="17" fillId="9" borderId="21" xfId="0" applyFont="1" applyFill="1" applyBorder="1"/>
    <xf numFmtId="0" fontId="17" fillId="9" borderId="22" xfId="0" applyFont="1" applyFill="1" applyBorder="1"/>
    <xf numFmtId="0" fontId="13" fillId="5" borderId="28" xfId="0" applyFont="1" applyFill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6" borderId="0" xfId="0" applyFont="1" applyFill="1" applyAlignment="1">
      <alignment horizontal="center"/>
    </xf>
  </cellXfs>
  <cellStyles count="4">
    <cellStyle name="Normal" xfId="0" builtinId="0"/>
    <cellStyle name="Note" xfId="1" builtinId="10"/>
    <cellStyle name="Style 1" xfId="2" xr:uid="{EC3FCC9A-C5E7-442A-9329-ABA0409658A7}"/>
    <cellStyle name="Style 2" xfId="3" xr:uid="{75CF71BD-A82F-45B0-9597-8B2CC2108B22}"/>
  </cellStyles>
  <dxfs count="0"/>
  <tableStyles count="0" defaultTableStyle="TableStyleMedium2" defaultPivotStyle="PivotStyleLight16"/>
  <colors>
    <mruColors>
      <color rgb="FFEAEAEA"/>
      <color rgb="FFE3E3CF"/>
      <color rgb="FFECF0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9C06-6E41-4AE8-B725-182127BB0C9D}">
  <dimension ref="A1:L49"/>
  <sheetViews>
    <sheetView showGridLines="0" tabSelected="1" topLeftCell="A12" zoomScale="90" zoomScaleNormal="90" workbookViewId="0">
      <selection activeCell="C36" sqref="C36:I38"/>
    </sheetView>
  </sheetViews>
  <sheetFormatPr defaultRowHeight="15" x14ac:dyDescent="0.25"/>
  <cols>
    <col min="1" max="1" width="1.5703125" customWidth="1"/>
    <col min="2" max="2" width="33.140625" customWidth="1"/>
    <col min="3" max="3" width="16" customWidth="1"/>
    <col min="4" max="9" width="14" customWidth="1"/>
    <col min="10" max="10" width="2" customWidth="1"/>
    <col min="11" max="11" width="10.85546875" bestFit="1" customWidth="1"/>
  </cols>
  <sheetData>
    <row r="1" spans="1:10" ht="39" customHeight="1" thickBot="1" x14ac:dyDescent="0.3">
      <c r="A1" s="145" t="s">
        <v>96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15.75" thickBot="1" x14ac:dyDescent="0.3">
      <c r="A2" s="146" t="s">
        <v>97</v>
      </c>
      <c r="B2" s="146"/>
      <c r="C2" s="146"/>
      <c r="D2" s="146"/>
      <c r="E2" s="146"/>
      <c r="F2" s="146"/>
      <c r="G2" s="146"/>
      <c r="H2" s="146"/>
      <c r="I2" s="146"/>
      <c r="J2" s="146"/>
    </row>
    <row r="3" spans="1:10" ht="11.25" customHeight="1" thickBot="1" x14ac:dyDescent="0.3">
      <c r="A3" s="149"/>
      <c r="B3" s="149"/>
      <c r="C3" s="149"/>
      <c r="D3" s="149"/>
      <c r="E3" s="149"/>
      <c r="F3" s="149"/>
      <c r="G3" s="149"/>
      <c r="H3" s="149"/>
      <c r="I3" s="149"/>
      <c r="J3" s="149"/>
    </row>
    <row r="4" spans="1:10" ht="18" customHeight="1" thickBot="1" x14ac:dyDescent="0.3">
      <c r="A4" s="47"/>
      <c r="B4" s="150" t="s">
        <v>98</v>
      </c>
      <c r="C4" s="150"/>
      <c r="D4" s="150"/>
      <c r="E4" s="150"/>
      <c r="F4" s="150"/>
      <c r="G4" s="150"/>
      <c r="H4" s="150"/>
      <c r="I4" s="150"/>
      <c r="J4" s="151"/>
    </row>
    <row r="5" spans="1:10" x14ac:dyDescent="0.25">
      <c r="B5" s="50" t="s">
        <v>76</v>
      </c>
      <c r="C5" s="147" t="s">
        <v>4</v>
      </c>
      <c r="D5" s="147"/>
      <c r="E5" s="148" t="s">
        <v>77</v>
      </c>
      <c r="F5" s="148"/>
      <c r="G5" s="148"/>
      <c r="H5" s="148"/>
      <c r="I5" s="148"/>
      <c r="J5" s="1"/>
    </row>
    <row r="6" spans="1:10" ht="21.95" customHeight="1" x14ac:dyDescent="0.25">
      <c r="B6" s="49" t="s">
        <v>99</v>
      </c>
      <c r="C6" s="123" t="s">
        <v>78</v>
      </c>
      <c r="D6" s="123"/>
      <c r="E6" s="124" t="s">
        <v>136</v>
      </c>
      <c r="F6" s="124"/>
      <c r="G6" s="124"/>
      <c r="H6" s="124"/>
      <c r="I6" s="124"/>
      <c r="J6" s="1"/>
    </row>
    <row r="7" spans="1:10" ht="21.95" customHeight="1" x14ac:dyDescent="0.25">
      <c r="B7" s="49" t="s">
        <v>79</v>
      </c>
      <c r="C7" s="123" t="s">
        <v>100</v>
      </c>
      <c r="D7" s="123"/>
      <c r="E7" s="140" t="s">
        <v>131</v>
      </c>
      <c r="F7" s="140"/>
      <c r="G7" s="140"/>
      <c r="H7" s="140"/>
      <c r="I7" s="140"/>
      <c r="J7" s="1"/>
    </row>
    <row r="8" spans="1:10" ht="21.95" customHeight="1" x14ac:dyDescent="0.25">
      <c r="B8" s="49" t="s">
        <v>80</v>
      </c>
      <c r="C8" s="123" t="s">
        <v>81</v>
      </c>
      <c r="D8" s="123"/>
      <c r="E8" s="124" t="s">
        <v>137</v>
      </c>
      <c r="F8" s="124"/>
      <c r="G8" s="124"/>
      <c r="H8" s="124"/>
      <c r="I8" s="124"/>
      <c r="J8" s="1"/>
    </row>
    <row r="9" spans="1:10" ht="21.95" customHeight="1" x14ac:dyDescent="0.25">
      <c r="B9" s="49" t="s">
        <v>82</v>
      </c>
      <c r="C9" s="123" t="s">
        <v>83</v>
      </c>
      <c r="D9" s="123"/>
      <c r="E9" s="140" t="s">
        <v>132</v>
      </c>
      <c r="F9" s="140"/>
      <c r="G9" s="140"/>
      <c r="H9" s="140"/>
      <c r="I9" s="140"/>
      <c r="J9" s="1"/>
    </row>
    <row r="10" spans="1:10" ht="21.95" customHeight="1" x14ac:dyDescent="0.25">
      <c r="B10" s="49" t="s">
        <v>124</v>
      </c>
      <c r="C10" s="123" t="s">
        <v>138</v>
      </c>
      <c r="D10" s="123"/>
      <c r="E10" s="124" t="s">
        <v>133</v>
      </c>
      <c r="F10" s="124"/>
      <c r="G10" s="124"/>
      <c r="H10" s="124"/>
      <c r="I10" s="124"/>
      <c r="J10" s="1"/>
    </row>
    <row r="11" spans="1:10" ht="21.75" customHeight="1" x14ac:dyDescent="0.25">
      <c r="B11" s="49" t="s">
        <v>125</v>
      </c>
      <c r="C11" s="139" t="s">
        <v>139</v>
      </c>
      <c r="D11" s="123"/>
      <c r="E11" s="140" t="s">
        <v>134</v>
      </c>
      <c r="F11" s="140"/>
      <c r="G11" s="140"/>
      <c r="H11" s="140"/>
      <c r="I11" s="140"/>
      <c r="J11" s="1"/>
    </row>
    <row r="12" spans="1:10" ht="21.75" customHeight="1" x14ac:dyDescent="0.25">
      <c r="B12" s="49" t="s">
        <v>84</v>
      </c>
      <c r="C12" s="123" t="s">
        <v>85</v>
      </c>
      <c r="D12" s="123"/>
      <c r="E12" s="124" t="s">
        <v>135</v>
      </c>
      <c r="F12" s="124"/>
      <c r="G12" s="124"/>
      <c r="H12" s="124"/>
      <c r="I12" s="124"/>
      <c r="J12" s="1"/>
    </row>
    <row r="13" spans="1:10" ht="12" customHeight="1" thickBot="1" x14ac:dyDescent="0.3">
      <c r="B13" s="1"/>
      <c r="C13" s="1"/>
      <c r="D13" s="1"/>
      <c r="E13" s="1"/>
      <c r="F13" s="1"/>
      <c r="G13" s="1"/>
      <c r="H13" s="1"/>
      <c r="I13" s="1"/>
      <c r="J13" s="1"/>
    </row>
    <row r="14" spans="1:10" ht="15.75" customHeight="1" thickBot="1" x14ac:dyDescent="0.3">
      <c r="A14" s="43"/>
      <c r="B14" s="51" t="s">
        <v>101</v>
      </c>
      <c r="C14" s="52"/>
      <c r="D14" s="52"/>
      <c r="E14" s="52"/>
      <c r="F14" s="52"/>
      <c r="G14" s="52"/>
      <c r="H14" s="52"/>
      <c r="I14" s="52"/>
      <c r="J14" s="45"/>
    </row>
    <row r="15" spans="1:10" ht="15.75" customHeight="1" x14ac:dyDescent="0.25">
      <c r="B15" s="48" t="s">
        <v>86</v>
      </c>
      <c r="C15" s="141" t="s">
        <v>87</v>
      </c>
      <c r="D15" s="141"/>
      <c r="E15" s="141" t="s">
        <v>102</v>
      </c>
      <c r="F15" s="141"/>
      <c r="G15" s="141" t="s">
        <v>126</v>
      </c>
      <c r="H15" s="141"/>
      <c r="I15" s="48" t="s">
        <v>88</v>
      </c>
      <c r="J15" s="1"/>
    </row>
    <row r="16" spans="1:10" ht="15.75" customHeight="1" x14ac:dyDescent="0.25">
      <c r="B16" s="101" t="s">
        <v>105</v>
      </c>
      <c r="C16" s="142">
        <v>1566300</v>
      </c>
      <c r="D16" s="142"/>
      <c r="E16" s="142">
        <v>3791073.5140800001</v>
      </c>
      <c r="F16" s="142"/>
      <c r="G16" s="143">
        <v>1970632.88448</v>
      </c>
      <c r="H16" s="143"/>
      <c r="I16" s="102" t="s">
        <v>89</v>
      </c>
      <c r="J16" s="1"/>
    </row>
    <row r="17" spans="1:12" ht="15.75" customHeight="1" x14ac:dyDescent="0.25">
      <c r="B17" s="99" t="s">
        <v>104</v>
      </c>
      <c r="C17" s="144">
        <v>2441300</v>
      </c>
      <c r="D17" s="144"/>
      <c r="E17" s="144">
        <v>3680949.35408</v>
      </c>
      <c r="F17" s="144"/>
      <c r="G17" s="138">
        <v>1148300.7244799999</v>
      </c>
      <c r="H17" s="138"/>
      <c r="I17" s="100" t="s">
        <v>90</v>
      </c>
      <c r="J17" s="1"/>
    </row>
    <row r="18" spans="1:12" ht="15.75" customHeight="1" thickBot="1" x14ac:dyDescent="0.3">
      <c r="B18" s="97" t="s">
        <v>91</v>
      </c>
      <c r="C18" s="134">
        <v>1232850</v>
      </c>
      <c r="D18" s="134"/>
      <c r="E18" s="134">
        <v>3487425.0254040002</v>
      </c>
      <c r="F18" s="134"/>
      <c r="G18" s="135">
        <v>2381984.88448</v>
      </c>
      <c r="H18" s="135"/>
      <c r="I18" s="98" t="s">
        <v>89</v>
      </c>
      <c r="J18" s="1"/>
    </row>
    <row r="19" spans="1:12" ht="15.75" customHeight="1" thickBot="1" x14ac:dyDescent="0.3">
      <c r="B19" s="95" t="s">
        <v>103</v>
      </c>
      <c r="C19" s="136">
        <v>4351500</v>
      </c>
      <c r="D19" s="136"/>
      <c r="E19" s="136">
        <v>4550176.7421599999</v>
      </c>
      <c r="F19" s="136"/>
      <c r="G19" s="137">
        <v>237676.74215999999</v>
      </c>
      <c r="H19" s="137"/>
      <c r="I19" s="96" t="s">
        <v>92</v>
      </c>
      <c r="J19" s="1"/>
      <c r="L19" s="83"/>
    </row>
    <row r="20" spans="1:12" ht="18" customHeight="1" thickBot="1" x14ac:dyDescent="0.3">
      <c r="B20" s="1"/>
      <c r="C20" s="1"/>
      <c r="D20" s="1"/>
      <c r="E20" s="1"/>
      <c r="F20" s="1"/>
      <c r="G20" s="1"/>
      <c r="H20" s="1"/>
      <c r="I20" s="1"/>
      <c r="J20" s="1"/>
    </row>
    <row r="21" spans="1:12" ht="24" customHeight="1" thickBot="1" x14ac:dyDescent="0.3">
      <c r="A21" s="53"/>
      <c r="B21" s="76" t="s">
        <v>106</v>
      </c>
      <c r="C21" s="77"/>
      <c r="D21" s="77"/>
      <c r="E21" s="77"/>
      <c r="F21" s="77"/>
      <c r="G21" s="77"/>
      <c r="H21" s="77"/>
      <c r="I21" s="77"/>
      <c r="J21" s="54"/>
    </row>
    <row r="22" spans="1:12" ht="24" customHeight="1" thickBot="1" x14ac:dyDescent="0.3">
      <c r="B22" s="94" t="s">
        <v>93</v>
      </c>
      <c r="C22" s="129" t="s">
        <v>94</v>
      </c>
      <c r="D22" s="130"/>
      <c r="E22" s="130"/>
      <c r="F22" s="130"/>
      <c r="G22" s="130"/>
      <c r="H22" s="130"/>
      <c r="I22" s="131"/>
      <c r="J22" s="1"/>
    </row>
    <row r="23" spans="1:12" ht="24" customHeight="1" thickBot="1" x14ac:dyDescent="0.3">
      <c r="B23" s="94" t="s">
        <v>129</v>
      </c>
      <c r="C23" s="132">
        <v>4550177</v>
      </c>
      <c r="D23" s="130"/>
      <c r="E23" s="130"/>
      <c r="F23" s="130"/>
      <c r="G23" s="130"/>
      <c r="H23" s="130"/>
      <c r="I23" s="131"/>
      <c r="J23" s="1"/>
    </row>
    <row r="24" spans="1:12" ht="24" customHeight="1" x14ac:dyDescent="0.25">
      <c r="B24" s="80" t="s">
        <v>107</v>
      </c>
      <c r="C24" s="133" t="s">
        <v>128</v>
      </c>
      <c r="D24" s="133"/>
      <c r="E24" s="133"/>
      <c r="F24" s="133"/>
      <c r="G24" s="133"/>
      <c r="H24" s="133"/>
      <c r="I24" s="133"/>
      <c r="J24" s="1"/>
    </row>
    <row r="25" spans="1:12" ht="24" customHeight="1" x14ac:dyDescent="0.25">
      <c r="B25" s="78" t="s">
        <v>130</v>
      </c>
      <c r="C25" s="125" t="s">
        <v>140</v>
      </c>
      <c r="D25" s="125"/>
      <c r="E25" s="125"/>
      <c r="F25" s="125"/>
      <c r="G25" s="125"/>
      <c r="H25" s="125"/>
      <c r="I25" s="125"/>
      <c r="J25" s="1"/>
      <c r="K25" s="79"/>
      <c r="L25" s="83"/>
    </row>
    <row r="26" spans="1:12" ht="15.75" thickBot="1" x14ac:dyDescent="0.3">
      <c r="B26" s="1"/>
      <c r="C26" s="1"/>
      <c r="D26" s="1"/>
      <c r="E26" s="1"/>
      <c r="F26" s="1"/>
      <c r="G26" s="1"/>
      <c r="H26" s="1"/>
      <c r="I26" s="1"/>
      <c r="J26" s="1"/>
    </row>
    <row r="27" spans="1:12" ht="15.75" customHeight="1" thickBot="1" x14ac:dyDescent="0.3">
      <c r="A27" s="43"/>
      <c r="B27" s="39" t="s">
        <v>141</v>
      </c>
      <c r="C27" s="81"/>
      <c r="D27" s="81"/>
      <c r="E27" s="81"/>
      <c r="F27" s="81"/>
      <c r="G27" s="81"/>
      <c r="H27" s="81"/>
      <c r="I27" s="81"/>
      <c r="J27" s="82"/>
    </row>
    <row r="28" spans="1:12" ht="53.25" customHeight="1" thickBot="1" x14ac:dyDescent="0.3">
      <c r="B28" s="126" t="s">
        <v>142</v>
      </c>
      <c r="C28" s="127"/>
      <c r="D28" s="127"/>
      <c r="E28" s="127"/>
      <c r="F28" s="127"/>
      <c r="G28" s="127"/>
      <c r="H28" s="127"/>
      <c r="I28" s="128"/>
    </row>
    <row r="29" spans="1:12" ht="12" customHeight="1" x14ac:dyDescent="0.25"/>
    <row r="30" spans="1:12" x14ac:dyDescent="0.25">
      <c r="B30" s="86" t="s">
        <v>143</v>
      </c>
      <c r="C30" s="121" t="s">
        <v>144</v>
      </c>
      <c r="D30" s="121"/>
      <c r="E30" s="121"/>
      <c r="F30" s="121"/>
      <c r="G30" s="122" t="s">
        <v>145</v>
      </c>
      <c r="H30" s="122"/>
      <c r="I30" s="122"/>
    </row>
    <row r="31" spans="1:12" ht="20.100000000000001" customHeight="1" x14ac:dyDescent="0.25">
      <c r="B31" s="84" t="s">
        <v>146</v>
      </c>
      <c r="C31" s="120" t="s">
        <v>155</v>
      </c>
      <c r="D31" s="120"/>
      <c r="E31" s="120"/>
      <c r="F31" s="120"/>
      <c r="G31" s="116" t="s">
        <v>161</v>
      </c>
      <c r="H31" s="116"/>
      <c r="I31" s="116"/>
    </row>
    <row r="32" spans="1:12" ht="20.100000000000001" customHeight="1" x14ac:dyDescent="0.25">
      <c r="B32" s="92" t="s">
        <v>147</v>
      </c>
      <c r="C32" s="119" t="s">
        <v>156</v>
      </c>
      <c r="D32" s="119"/>
      <c r="E32" s="119"/>
      <c r="F32" s="119"/>
      <c r="G32" s="117" t="s">
        <v>162</v>
      </c>
      <c r="H32" s="117"/>
      <c r="I32" s="117"/>
    </row>
    <row r="33" spans="1:10" ht="20.100000000000001" customHeight="1" x14ac:dyDescent="0.25">
      <c r="B33" s="84" t="s">
        <v>148</v>
      </c>
      <c r="C33" s="120" t="s">
        <v>167</v>
      </c>
      <c r="D33" s="120"/>
      <c r="E33" s="120"/>
      <c r="F33" s="120"/>
      <c r="G33" s="116" t="s">
        <v>168</v>
      </c>
      <c r="H33" s="116"/>
      <c r="I33" s="116"/>
    </row>
    <row r="34" spans="1:10" ht="20.100000000000001" customHeight="1" x14ac:dyDescent="0.25">
      <c r="B34" s="92" t="s">
        <v>149</v>
      </c>
      <c r="C34" s="119" t="s">
        <v>157</v>
      </c>
      <c r="D34" s="119"/>
      <c r="E34" s="119"/>
      <c r="F34" s="119"/>
      <c r="G34" s="117" t="s">
        <v>163</v>
      </c>
      <c r="H34" s="117"/>
      <c r="I34" s="117"/>
    </row>
    <row r="35" spans="1:10" ht="20.100000000000001" customHeight="1" x14ac:dyDescent="0.25">
      <c r="B35" s="84" t="s">
        <v>150</v>
      </c>
      <c r="C35" s="120" t="s">
        <v>169</v>
      </c>
      <c r="D35" s="120"/>
      <c r="E35" s="120"/>
      <c r="F35" s="120"/>
      <c r="G35" s="116" t="s">
        <v>164</v>
      </c>
      <c r="H35" s="116"/>
      <c r="I35" s="116"/>
    </row>
    <row r="36" spans="1:10" ht="20.100000000000001" customHeight="1" x14ac:dyDescent="0.25">
      <c r="B36" s="92" t="s">
        <v>151</v>
      </c>
      <c r="C36" s="119" t="s">
        <v>158</v>
      </c>
      <c r="D36" s="119"/>
      <c r="E36" s="119"/>
      <c r="F36" s="119"/>
      <c r="G36" s="117" t="s">
        <v>165</v>
      </c>
      <c r="H36" s="117"/>
      <c r="I36" s="117"/>
    </row>
    <row r="37" spans="1:10" ht="20.100000000000001" customHeight="1" x14ac:dyDescent="0.25">
      <c r="B37" s="84" t="s">
        <v>152</v>
      </c>
      <c r="C37" s="120" t="s">
        <v>159</v>
      </c>
      <c r="D37" s="120"/>
      <c r="E37" s="120"/>
      <c r="F37" s="120"/>
      <c r="G37" s="116" t="s">
        <v>170</v>
      </c>
      <c r="H37" s="116"/>
      <c r="I37" s="116"/>
    </row>
    <row r="38" spans="1:10" ht="20.100000000000001" customHeight="1" x14ac:dyDescent="0.25">
      <c r="B38" s="92" t="s">
        <v>153</v>
      </c>
      <c r="C38" s="119" t="s">
        <v>160</v>
      </c>
      <c r="D38" s="119"/>
      <c r="E38" s="119"/>
      <c r="F38" s="119"/>
      <c r="G38" s="117" t="s">
        <v>166</v>
      </c>
      <c r="H38" s="117"/>
      <c r="I38" s="117"/>
    </row>
    <row r="39" spans="1:10" ht="20.100000000000001" customHeight="1" x14ac:dyDescent="0.25">
      <c r="B39" s="85" t="s">
        <v>154</v>
      </c>
      <c r="C39" s="115">
        <v>3487425.0254040002</v>
      </c>
      <c r="D39" s="115"/>
      <c r="E39" s="115"/>
      <c r="F39" s="115"/>
      <c r="G39" s="118">
        <v>4550177</v>
      </c>
      <c r="H39" s="118"/>
      <c r="I39" s="118"/>
    </row>
    <row r="40" spans="1:10" ht="12" customHeight="1" thickBot="1" x14ac:dyDescent="0.3"/>
    <row r="41" spans="1:10" ht="15.75" thickBot="1" x14ac:dyDescent="0.3">
      <c r="A41" s="88"/>
      <c r="B41" s="89" t="s">
        <v>171</v>
      </c>
      <c r="C41" s="90"/>
      <c r="D41" s="90"/>
      <c r="E41" s="90"/>
      <c r="F41" s="90"/>
      <c r="G41" s="90"/>
      <c r="H41" s="90"/>
      <c r="I41" s="90"/>
      <c r="J41" s="91"/>
    </row>
    <row r="42" spans="1:10" x14ac:dyDescent="0.25">
      <c r="B42" s="87" t="s">
        <v>172</v>
      </c>
      <c r="C42" s="111" t="s">
        <v>77</v>
      </c>
      <c r="D42" s="111"/>
      <c r="E42" s="111"/>
      <c r="F42" s="111"/>
      <c r="G42" s="111"/>
      <c r="H42" s="111"/>
      <c r="I42" s="111"/>
    </row>
    <row r="43" spans="1:10" ht="38.1" customHeight="1" x14ac:dyDescent="0.25">
      <c r="B43" s="85" t="s">
        <v>173</v>
      </c>
      <c r="C43" s="107" t="s">
        <v>178</v>
      </c>
      <c r="D43" s="108"/>
      <c r="E43" s="108"/>
      <c r="F43" s="108"/>
      <c r="G43" s="108"/>
      <c r="H43" s="108"/>
      <c r="I43" s="109"/>
    </row>
    <row r="44" spans="1:10" ht="38.1" customHeight="1" x14ac:dyDescent="0.25">
      <c r="B44" s="93" t="s">
        <v>174</v>
      </c>
      <c r="C44" s="112" t="s">
        <v>179</v>
      </c>
      <c r="D44" s="113"/>
      <c r="E44" s="113"/>
      <c r="F44" s="113"/>
      <c r="G44" s="113"/>
      <c r="H44" s="113"/>
      <c r="I44" s="114"/>
    </row>
    <row r="45" spans="1:10" ht="38.1" customHeight="1" x14ac:dyDescent="0.25">
      <c r="B45" s="85" t="s">
        <v>175</v>
      </c>
      <c r="C45" s="107" t="s">
        <v>180</v>
      </c>
      <c r="D45" s="108"/>
      <c r="E45" s="108"/>
      <c r="F45" s="108"/>
      <c r="G45" s="108"/>
      <c r="H45" s="108"/>
      <c r="I45" s="109"/>
    </row>
    <row r="46" spans="1:10" ht="38.1" customHeight="1" x14ac:dyDescent="0.25">
      <c r="B46" s="93" t="s">
        <v>176</v>
      </c>
      <c r="C46" s="112" t="s">
        <v>181</v>
      </c>
      <c r="D46" s="113"/>
      <c r="E46" s="113"/>
      <c r="F46" s="113"/>
      <c r="G46" s="113"/>
      <c r="H46" s="113"/>
      <c r="I46" s="114"/>
    </row>
    <row r="47" spans="1:10" ht="38.1" customHeight="1" x14ac:dyDescent="0.25">
      <c r="B47" s="85" t="s">
        <v>177</v>
      </c>
      <c r="C47" s="107" t="s">
        <v>182</v>
      </c>
      <c r="D47" s="108"/>
      <c r="E47" s="108"/>
      <c r="F47" s="108"/>
      <c r="G47" s="108"/>
      <c r="H47" s="108"/>
      <c r="I47" s="109"/>
    </row>
    <row r="49" spans="1:10" ht="34.5" customHeight="1" x14ac:dyDescent="0.25">
      <c r="A49" s="110" t="s">
        <v>183</v>
      </c>
      <c r="B49" s="110"/>
      <c r="C49" s="110"/>
      <c r="D49" s="110"/>
      <c r="E49" s="110"/>
      <c r="F49" s="110"/>
      <c r="G49" s="110"/>
      <c r="H49" s="110"/>
      <c r="I49" s="110"/>
      <c r="J49" s="110"/>
    </row>
  </sheetData>
  <mergeCells count="67">
    <mergeCell ref="A1:J1"/>
    <mergeCell ref="A2:J2"/>
    <mergeCell ref="C5:D5"/>
    <mergeCell ref="E5:I5"/>
    <mergeCell ref="C6:D6"/>
    <mergeCell ref="E6:I6"/>
    <mergeCell ref="A3:J3"/>
    <mergeCell ref="B4:J4"/>
    <mergeCell ref="C7:D7"/>
    <mergeCell ref="E7:I7"/>
    <mergeCell ref="C8:D8"/>
    <mergeCell ref="E8:I8"/>
    <mergeCell ref="C9:D9"/>
    <mergeCell ref="E9:I9"/>
    <mergeCell ref="C16:D16"/>
    <mergeCell ref="E16:F16"/>
    <mergeCell ref="G16:H16"/>
    <mergeCell ref="C17:D17"/>
    <mergeCell ref="E17:F17"/>
    <mergeCell ref="C12:D12"/>
    <mergeCell ref="C15:D15"/>
    <mergeCell ref="E15:F15"/>
    <mergeCell ref="G15:H15"/>
    <mergeCell ref="E12:I12"/>
    <mergeCell ref="C10:D10"/>
    <mergeCell ref="E10:I10"/>
    <mergeCell ref="C25:I25"/>
    <mergeCell ref="B28:I28"/>
    <mergeCell ref="C22:I22"/>
    <mergeCell ref="C23:I23"/>
    <mergeCell ref="C24:I24"/>
    <mergeCell ref="C18:D18"/>
    <mergeCell ref="E18:F18"/>
    <mergeCell ref="G18:H18"/>
    <mergeCell ref="C19:D19"/>
    <mergeCell ref="E19:F19"/>
    <mergeCell ref="G19:H19"/>
    <mergeCell ref="G17:H17"/>
    <mergeCell ref="C11:D11"/>
    <mergeCell ref="E11:I11"/>
    <mergeCell ref="C30:F30"/>
    <mergeCell ref="G30:I30"/>
    <mergeCell ref="C31:F31"/>
    <mergeCell ref="C32:F32"/>
    <mergeCell ref="C33:F33"/>
    <mergeCell ref="C39:F39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C34:F34"/>
    <mergeCell ref="C35:F35"/>
    <mergeCell ref="C36:F36"/>
    <mergeCell ref="C37:F37"/>
    <mergeCell ref="C38:F38"/>
    <mergeCell ref="C47:I47"/>
    <mergeCell ref="A49:J49"/>
    <mergeCell ref="C42:I42"/>
    <mergeCell ref="C43:I43"/>
    <mergeCell ref="C44:I44"/>
    <mergeCell ref="C45:I45"/>
    <mergeCell ref="C46:I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6463-3107-41D8-B07E-3B739C02693B}">
  <sheetPr>
    <pageSetUpPr autoPageBreaks="0"/>
  </sheetPr>
  <dimension ref="A1:K69"/>
  <sheetViews>
    <sheetView showGridLines="0" topLeftCell="A24" zoomScaleNormal="100" zoomScaleSheetLayoutView="100" workbookViewId="0">
      <selection activeCell="J54" sqref="J54"/>
    </sheetView>
  </sheetViews>
  <sheetFormatPr defaultColWidth="15.7109375" defaultRowHeight="15" x14ac:dyDescent="0.25"/>
  <cols>
    <col min="1" max="1" width="1.5703125" customWidth="1"/>
    <col min="2" max="2" width="18.7109375" customWidth="1"/>
    <col min="3" max="3" width="26.140625" customWidth="1"/>
    <col min="4" max="5" width="16.7109375" customWidth="1"/>
    <col min="6" max="11" width="13.7109375" customWidth="1"/>
  </cols>
  <sheetData>
    <row r="1" spans="1:11" ht="15" customHeight="1" x14ac:dyDescent="0.25">
      <c r="A1" s="199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1"/>
    </row>
    <row r="2" spans="1:11" ht="15" customHeight="1" x14ac:dyDescent="0.25">
      <c r="A2" s="202"/>
      <c r="B2" s="203"/>
      <c r="C2" s="203"/>
      <c r="D2" s="203"/>
      <c r="E2" s="203"/>
      <c r="F2" s="203"/>
      <c r="G2" s="203"/>
      <c r="H2" s="203"/>
      <c r="I2" s="203"/>
      <c r="J2" s="203"/>
      <c r="K2" s="204"/>
    </row>
    <row r="3" spans="1:11" ht="15" customHeight="1" x14ac:dyDescent="0.25">
      <c r="A3" s="205"/>
      <c r="B3" s="206"/>
      <c r="C3" s="206"/>
      <c r="D3" s="206"/>
      <c r="E3" s="206"/>
      <c r="F3" s="206"/>
      <c r="G3" s="206"/>
      <c r="H3" s="206"/>
      <c r="I3" s="206"/>
      <c r="J3" s="206"/>
      <c r="K3" s="207"/>
    </row>
    <row r="4" spans="1:11" x14ac:dyDescent="0.25">
      <c r="A4" s="12"/>
      <c r="B4" s="193" t="s">
        <v>1</v>
      </c>
      <c r="C4" s="193"/>
      <c r="D4" s="193"/>
      <c r="E4" s="193"/>
      <c r="F4" s="193"/>
      <c r="G4" s="193"/>
      <c r="H4" s="193"/>
      <c r="I4" s="193"/>
      <c r="J4" s="193"/>
      <c r="K4" s="13"/>
    </row>
    <row r="5" spans="1:11" ht="15.75" thickBot="1" x14ac:dyDescent="0.3">
      <c r="B5" s="149"/>
      <c r="C5" s="149"/>
      <c r="D5" s="149"/>
      <c r="E5" s="149"/>
      <c r="F5" s="149"/>
      <c r="G5" s="149"/>
      <c r="H5" s="149"/>
      <c r="I5" s="149"/>
      <c r="J5" s="149"/>
    </row>
    <row r="6" spans="1:11" ht="15.75" thickBot="1" x14ac:dyDescent="0.3">
      <c r="A6" s="43"/>
      <c r="B6" s="194" t="s">
        <v>2</v>
      </c>
      <c r="C6" s="195"/>
      <c r="D6" s="195"/>
      <c r="E6" s="195"/>
      <c r="F6" s="195"/>
      <c r="G6" s="195"/>
      <c r="H6" s="195"/>
      <c r="I6" s="195"/>
      <c r="J6" s="196"/>
      <c r="K6" s="45"/>
    </row>
    <row r="7" spans="1:11" x14ac:dyDescent="0.25">
      <c r="B7" s="197" t="s">
        <v>3</v>
      </c>
      <c r="C7" s="197"/>
      <c r="D7" s="42" t="s">
        <v>4</v>
      </c>
      <c r="E7" s="208" t="s">
        <v>5</v>
      </c>
      <c r="F7" s="209"/>
      <c r="G7" s="209"/>
      <c r="H7" s="209"/>
      <c r="I7" s="209"/>
      <c r="J7" s="7"/>
      <c r="K7" s="1"/>
    </row>
    <row r="8" spans="1:11" x14ac:dyDescent="0.25">
      <c r="B8" s="210" t="s">
        <v>6</v>
      </c>
      <c r="C8" s="210"/>
      <c r="D8" s="210"/>
      <c r="E8" s="210"/>
      <c r="F8" s="210"/>
      <c r="G8" s="210"/>
      <c r="H8" s="210"/>
      <c r="I8" s="210"/>
      <c r="J8" s="7"/>
      <c r="K8" s="1"/>
    </row>
    <row r="9" spans="1:11" x14ac:dyDescent="0.25">
      <c r="B9" s="198" t="s">
        <v>7</v>
      </c>
      <c r="C9" s="198"/>
      <c r="D9" s="4">
        <v>2500</v>
      </c>
      <c r="E9" s="187" t="s">
        <v>30</v>
      </c>
      <c r="F9" s="188"/>
      <c r="G9" s="188"/>
      <c r="H9" s="188"/>
      <c r="I9" s="188"/>
      <c r="J9" s="7"/>
      <c r="K9" s="1"/>
    </row>
    <row r="10" spans="1:11" x14ac:dyDescent="0.25">
      <c r="B10" s="71" t="s">
        <v>8</v>
      </c>
      <c r="C10" s="71"/>
      <c r="D10" s="5">
        <v>0.15</v>
      </c>
      <c r="E10" s="187" t="s">
        <v>29</v>
      </c>
      <c r="F10" s="188"/>
      <c r="G10" s="188"/>
      <c r="H10" s="188"/>
      <c r="I10" s="188"/>
      <c r="J10" s="7"/>
      <c r="K10" s="1"/>
    </row>
    <row r="11" spans="1:11" x14ac:dyDescent="0.25">
      <c r="B11" s="71" t="s">
        <v>9</v>
      </c>
      <c r="C11" s="71"/>
      <c r="D11" s="6">
        <v>1420</v>
      </c>
      <c r="E11" s="187" t="s">
        <v>123</v>
      </c>
      <c r="F11" s="188"/>
      <c r="G11" s="188"/>
      <c r="H11" s="188"/>
      <c r="I11" s="188"/>
      <c r="J11" s="7"/>
      <c r="K11" s="1"/>
    </row>
    <row r="12" spans="1:11" x14ac:dyDescent="0.25">
      <c r="B12" s="71" t="s">
        <v>10</v>
      </c>
      <c r="C12" s="71"/>
      <c r="D12" s="6">
        <v>200</v>
      </c>
      <c r="E12" s="187" t="s">
        <v>34</v>
      </c>
      <c r="F12" s="188"/>
      <c r="G12" s="188"/>
      <c r="H12" s="188"/>
      <c r="I12" s="188"/>
      <c r="J12" s="7"/>
      <c r="K12" s="1"/>
    </row>
    <row r="13" spans="1:11" x14ac:dyDescent="0.25">
      <c r="B13" s="192" t="s">
        <v>11</v>
      </c>
      <c r="C13" s="192"/>
      <c r="D13" s="192"/>
      <c r="E13" s="192"/>
      <c r="F13" s="192"/>
      <c r="G13" s="192"/>
      <c r="H13" s="192"/>
      <c r="I13" s="192"/>
      <c r="J13" s="7"/>
      <c r="K13" s="1"/>
    </row>
    <row r="14" spans="1:11" x14ac:dyDescent="0.25">
      <c r="B14" s="71" t="s">
        <v>12</v>
      </c>
      <c r="C14" s="2"/>
      <c r="D14" s="6">
        <v>200</v>
      </c>
      <c r="E14" s="187" t="s">
        <v>26</v>
      </c>
      <c r="F14" s="188"/>
      <c r="G14" s="188"/>
      <c r="H14" s="188"/>
      <c r="I14" s="188"/>
      <c r="J14" s="7"/>
      <c r="K14" s="1"/>
    </row>
    <row r="15" spans="1:11" x14ac:dyDescent="0.25">
      <c r="B15" s="71" t="s">
        <v>13</v>
      </c>
      <c r="C15" s="2"/>
      <c r="D15" s="6">
        <v>190</v>
      </c>
      <c r="E15" s="187" t="s">
        <v>27</v>
      </c>
      <c r="F15" s="188"/>
      <c r="G15" s="188"/>
      <c r="H15" s="188"/>
      <c r="I15" s="188"/>
      <c r="J15" s="7"/>
      <c r="K15" s="1"/>
    </row>
    <row r="16" spans="1:11" x14ac:dyDescent="0.25">
      <c r="B16" s="71" t="s">
        <v>14</v>
      </c>
      <c r="C16" s="2"/>
      <c r="D16" s="6">
        <v>95</v>
      </c>
      <c r="E16" s="187" t="s">
        <v>28</v>
      </c>
      <c r="F16" s="188"/>
      <c r="G16" s="188"/>
      <c r="H16" s="188"/>
      <c r="I16" s="188"/>
      <c r="J16" s="7"/>
      <c r="K16" s="1"/>
    </row>
    <row r="17" spans="1:11" x14ac:dyDescent="0.25">
      <c r="B17" s="192" t="s">
        <v>15</v>
      </c>
      <c r="C17" s="192"/>
      <c r="D17" s="192"/>
      <c r="E17" s="192"/>
      <c r="F17" s="192"/>
      <c r="G17" s="192"/>
      <c r="H17" s="192"/>
      <c r="I17" s="192"/>
      <c r="J17" s="7"/>
      <c r="K17" s="1"/>
    </row>
    <row r="18" spans="1:11" ht="15" customHeight="1" x14ac:dyDescent="0.25">
      <c r="B18" s="72" t="s">
        <v>16</v>
      </c>
      <c r="C18" s="3"/>
      <c r="D18" s="6">
        <v>0</v>
      </c>
      <c r="E18" s="187" t="s">
        <v>31</v>
      </c>
      <c r="F18" s="188"/>
      <c r="G18" s="188"/>
      <c r="H18" s="188"/>
      <c r="I18" s="188"/>
      <c r="J18" s="7"/>
      <c r="K18" s="1"/>
    </row>
    <row r="19" spans="1:11" ht="15" customHeight="1" x14ac:dyDescent="0.25">
      <c r="B19" s="72" t="s">
        <v>17</v>
      </c>
      <c r="C19" s="3"/>
      <c r="D19" s="6">
        <v>350</v>
      </c>
      <c r="E19" s="187" t="s">
        <v>23</v>
      </c>
      <c r="F19" s="188"/>
      <c r="G19" s="188"/>
      <c r="H19" s="188"/>
      <c r="I19" s="188"/>
      <c r="J19" s="7"/>
      <c r="K19" s="1"/>
    </row>
    <row r="20" spans="1:11" ht="15" customHeight="1" x14ac:dyDescent="0.25">
      <c r="B20" s="72" t="s">
        <v>18</v>
      </c>
      <c r="C20" s="3"/>
      <c r="D20" s="5">
        <v>0.1</v>
      </c>
      <c r="E20" s="187" t="s">
        <v>24</v>
      </c>
      <c r="F20" s="188"/>
      <c r="G20" s="188"/>
      <c r="H20" s="188"/>
      <c r="I20" s="188"/>
      <c r="J20" s="7"/>
      <c r="K20" s="1"/>
    </row>
    <row r="21" spans="1:11" ht="15" customHeight="1" x14ac:dyDescent="0.25">
      <c r="B21" s="72" t="s">
        <v>19</v>
      </c>
      <c r="C21" s="3"/>
      <c r="D21" s="5">
        <v>0.02</v>
      </c>
      <c r="E21" s="187" t="s">
        <v>25</v>
      </c>
      <c r="F21" s="188"/>
      <c r="G21" s="188"/>
      <c r="H21" s="188"/>
      <c r="I21" s="188"/>
      <c r="J21" s="7"/>
      <c r="K21" s="1"/>
    </row>
    <row r="22" spans="1:11" ht="15" customHeight="1" x14ac:dyDescent="0.25">
      <c r="B22" s="211" t="s">
        <v>108</v>
      </c>
      <c r="C22" s="211"/>
      <c r="D22" s="211"/>
      <c r="E22" s="211"/>
      <c r="F22" s="211"/>
      <c r="G22" s="211"/>
      <c r="H22" s="211"/>
      <c r="I22" s="211"/>
      <c r="J22" s="7"/>
      <c r="K22" s="1"/>
    </row>
    <row r="23" spans="1:11" x14ac:dyDescent="0.25">
      <c r="B23" s="8" t="s">
        <v>109</v>
      </c>
      <c r="C23" s="70"/>
      <c r="D23" s="73">
        <v>26</v>
      </c>
      <c r="E23" s="187" t="s">
        <v>113</v>
      </c>
      <c r="F23" s="188"/>
      <c r="G23" s="188"/>
      <c r="H23" s="188"/>
      <c r="I23" s="188"/>
      <c r="J23" s="7"/>
      <c r="K23" s="1"/>
    </row>
    <row r="24" spans="1:11" x14ac:dyDescent="0.25">
      <c r="B24" s="8" t="s">
        <v>110</v>
      </c>
      <c r="C24" s="70"/>
      <c r="D24" s="74">
        <v>8</v>
      </c>
      <c r="E24" s="187" t="s">
        <v>114</v>
      </c>
      <c r="F24" s="188"/>
      <c r="G24" s="188"/>
      <c r="H24" s="188"/>
      <c r="I24" s="188"/>
      <c r="J24" s="7"/>
      <c r="K24" s="1"/>
    </row>
    <row r="25" spans="1:11" x14ac:dyDescent="0.25">
      <c r="B25" s="8" t="s">
        <v>111</v>
      </c>
      <c r="C25" s="70"/>
      <c r="D25" s="74">
        <v>1.5</v>
      </c>
      <c r="E25" s="187" t="s">
        <v>115</v>
      </c>
      <c r="F25" s="188"/>
      <c r="G25" s="188"/>
      <c r="H25" s="188"/>
      <c r="I25" s="188"/>
      <c r="J25" s="7"/>
      <c r="K25" s="1"/>
    </row>
    <row r="26" spans="1:11" x14ac:dyDescent="0.25">
      <c r="B26" s="8" t="s">
        <v>112</v>
      </c>
      <c r="C26" s="70"/>
      <c r="D26" s="74">
        <v>10</v>
      </c>
      <c r="E26" s="187" t="s">
        <v>116</v>
      </c>
      <c r="F26" s="188"/>
      <c r="G26" s="188"/>
      <c r="H26" s="188"/>
      <c r="I26" s="188"/>
      <c r="J26" s="7"/>
      <c r="K26" s="1"/>
    </row>
    <row r="27" spans="1:11" ht="5.25" customHeight="1" x14ac:dyDescent="0.25">
      <c r="B27" s="8"/>
      <c r="C27" s="8"/>
      <c r="D27" s="9"/>
      <c r="E27" s="217"/>
      <c r="F27" s="217"/>
      <c r="G27" s="217"/>
      <c r="H27" s="217"/>
      <c r="I27" s="217"/>
      <c r="J27" s="7"/>
      <c r="K27" s="1"/>
    </row>
    <row r="28" spans="1:11" x14ac:dyDescent="0.25">
      <c r="B28" s="10" t="s">
        <v>20</v>
      </c>
      <c r="C28" s="10"/>
      <c r="D28" s="11"/>
      <c r="E28" s="190"/>
      <c r="F28" s="190"/>
      <c r="G28" s="190"/>
      <c r="H28" s="7"/>
      <c r="I28" s="7"/>
      <c r="J28" s="7"/>
      <c r="K28" s="1"/>
    </row>
    <row r="29" spans="1:11" x14ac:dyDescent="0.25">
      <c r="B29" s="215" t="s">
        <v>21</v>
      </c>
      <c r="C29" s="215"/>
      <c r="D29" s="41">
        <f>ROUND(D9*D10,2)</f>
        <v>375</v>
      </c>
      <c r="E29" s="190"/>
      <c r="F29" s="190"/>
      <c r="G29" s="190"/>
      <c r="H29" s="7"/>
      <c r="I29" s="7"/>
      <c r="J29" s="7"/>
      <c r="K29" s="1"/>
    </row>
    <row r="30" spans="1:11" x14ac:dyDescent="0.25">
      <c r="B30" s="215" t="s">
        <v>22</v>
      </c>
      <c r="C30" s="215"/>
      <c r="D30" s="41">
        <f>D9-D29</f>
        <v>2125</v>
      </c>
      <c r="E30" s="190"/>
      <c r="F30" s="190"/>
      <c r="G30" s="190"/>
      <c r="H30" s="7"/>
      <c r="I30" s="7"/>
      <c r="J30" s="7"/>
      <c r="K30" s="1"/>
    </row>
    <row r="31" spans="1:11" ht="15.75" thickBot="1" x14ac:dyDescent="0.3">
      <c r="B31" s="216"/>
      <c r="C31" s="216"/>
      <c r="D31" s="40"/>
      <c r="E31" s="190"/>
      <c r="F31" s="190"/>
      <c r="G31" s="7"/>
      <c r="H31" s="7"/>
      <c r="I31" s="7"/>
      <c r="J31" s="7"/>
      <c r="K31" s="1"/>
    </row>
    <row r="32" spans="1:11" ht="15.75" thickBot="1" x14ac:dyDescent="0.3">
      <c r="A32" s="43"/>
      <c r="B32" s="39" t="s">
        <v>32</v>
      </c>
      <c r="C32" s="44"/>
      <c r="D32" s="44"/>
      <c r="E32" s="44"/>
      <c r="F32" s="44"/>
      <c r="G32" s="44"/>
      <c r="H32" s="44"/>
      <c r="I32" s="44"/>
      <c r="J32" s="44"/>
      <c r="K32" s="45"/>
    </row>
    <row r="33" spans="2:11" ht="15.75" thickBot="1" x14ac:dyDescent="0.3">
      <c r="B33" s="189" t="s">
        <v>33</v>
      </c>
      <c r="C33" s="189"/>
      <c r="D33" s="191"/>
      <c r="E33" s="191"/>
      <c r="F33" s="14" t="s">
        <v>35</v>
      </c>
      <c r="G33" s="14" t="s">
        <v>36</v>
      </c>
      <c r="H33" s="14" t="s">
        <v>37</v>
      </c>
      <c r="I33" s="14" t="s">
        <v>38</v>
      </c>
      <c r="J33" s="14" t="s">
        <v>39</v>
      </c>
      <c r="K33" s="14" t="s">
        <v>40</v>
      </c>
    </row>
    <row r="34" spans="2:11" ht="15.75" thickBot="1" x14ac:dyDescent="0.3">
      <c r="B34" s="212" t="s">
        <v>41</v>
      </c>
      <c r="C34" s="213"/>
      <c r="D34" s="213"/>
      <c r="E34" s="213"/>
      <c r="F34" s="213"/>
      <c r="G34" s="213"/>
      <c r="H34" s="213"/>
      <c r="I34" s="213"/>
      <c r="J34" s="213"/>
      <c r="K34" s="214"/>
    </row>
    <row r="35" spans="2:11" x14ac:dyDescent="0.25">
      <c r="B35" s="152" t="s">
        <v>42</v>
      </c>
      <c r="C35" s="152"/>
      <c r="D35" s="152"/>
      <c r="E35" s="152"/>
      <c r="F35" s="59">
        <f>($D$29+$D$30)*D14*3</f>
        <v>1500000</v>
      </c>
      <c r="G35" s="59">
        <v>0</v>
      </c>
      <c r="H35" s="59">
        <v>0</v>
      </c>
      <c r="I35" s="59">
        <v>0</v>
      </c>
      <c r="J35" s="59">
        <v>0</v>
      </c>
      <c r="K35" s="59">
        <f>IFERROR(SUM(F35:J35),0)</f>
        <v>1500000</v>
      </c>
    </row>
    <row r="36" spans="2:11" x14ac:dyDescent="0.25">
      <c r="B36" s="153" t="s">
        <v>43</v>
      </c>
      <c r="C36" s="153"/>
      <c r="D36" s="153"/>
      <c r="E36" s="153"/>
      <c r="F36" s="60">
        <f>$D$29*D18</f>
        <v>0</v>
      </c>
      <c r="G36" s="59">
        <v>0</v>
      </c>
      <c r="H36" s="59">
        <v>0</v>
      </c>
      <c r="I36" s="59">
        <v>0</v>
      </c>
      <c r="J36" s="59">
        <v>0</v>
      </c>
      <c r="K36" s="59">
        <f t="shared" ref="K36:K38" si="0">IFERROR(SUM(F36:J36),0)</f>
        <v>0</v>
      </c>
    </row>
    <row r="37" spans="2:11" x14ac:dyDescent="0.25">
      <c r="B37" s="154" t="s">
        <v>44</v>
      </c>
      <c r="C37" s="154"/>
      <c r="D37" s="154"/>
      <c r="E37" s="154"/>
      <c r="F37" s="61">
        <v>0</v>
      </c>
      <c r="G37" s="61">
        <f>IFERROR($D$30*(1-$D$20)*MIN($D$20+$D$21,1)*$D$19,0)</f>
        <v>80325.000000000015</v>
      </c>
      <c r="H37" s="61">
        <f>IFERROR($D$30*(1-$D$20)*(1-($D$20+$D$21))*MIN($D$20+2*$D$21,1)*$D$19,0)</f>
        <v>82467.000000000015</v>
      </c>
      <c r="I37" s="61">
        <f>IFERROR($D$30*(1-$D$20)*(1-($D$20+$D$21))*(1-($D$20+2*$D$21))*MIN($D$20+3*$D$21,1)*$D$19,0)</f>
        <v>81053.279999999999</v>
      </c>
      <c r="J37" s="61">
        <f>IFERROR($D$30*(1-$D$20)*(1-($D$20+$D$21))*(1-($D$20+2*$D$21))*(1-($D$20+3*$D$21))*MIN($D$20+4*$D$21,1)*$D$19,0)</f>
        <v>76595.349600000001</v>
      </c>
      <c r="K37" s="59">
        <f t="shared" si="0"/>
        <v>320440.62960000004</v>
      </c>
    </row>
    <row r="38" spans="2:11" ht="15.75" thickBot="1" x14ac:dyDescent="0.3">
      <c r="B38" s="154" t="s">
        <v>117</v>
      </c>
      <c r="C38" s="154"/>
      <c r="D38" s="154"/>
      <c r="E38" s="154"/>
      <c r="F38" s="75">
        <f>IFERROR($D$30*MIN($D$20,1)*$D$25*$D$24*$D$23,0)</f>
        <v>66300</v>
      </c>
      <c r="G38" s="75">
        <f>IFERROR($D$30*(1-$D$20)*MIN($D$20+$D$21,1)*$D$26*$D$24*$D$23,0)</f>
        <v>477360.00000000012</v>
      </c>
      <c r="H38" s="75">
        <f>IFERROR($D$30*(1-$D$20)*(1-($D$20+$D$21))*MIN($D$20+2*$D$21,1)*$D$26*$D$24*$D$23,0)</f>
        <v>490089.60000000003</v>
      </c>
      <c r="I38" s="75">
        <f>IFERROR($D$30*(1-MIN($D$20+0*$D$21,1))*(1-MIN($D$20+1*$D$21,1))*(1-MIN($D$20+2*$D$21,1))*MIN($D$20+3*$D$21,1)*$D$26*$D$24*$D$23,0)</f>
        <v>481688.06400000001</v>
      </c>
      <c r="J38" s="75">
        <f>IFERROR($D$30*(1-$D$20)*(1-($D$20+$D$21))*(1-($D$20+2*$D$21))*(1-($D$20+3*$D$21))*MIN($D$20+4*$D$21,1)*$D$26*$D$24*$D$23,0)</f>
        <v>455195.22048000002</v>
      </c>
      <c r="K38" s="59">
        <f t="shared" si="0"/>
        <v>1970632.88448</v>
      </c>
    </row>
    <row r="39" spans="2:11" ht="15.75" thickBot="1" x14ac:dyDescent="0.3">
      <c r="B39" s="159" t="s">
        <v>45</v>
      </c>
      <c r="C39" s="160"/>
      <c r="D39" s="160"/>
      <c r="E39" s="160"/>
      <c r="F39" s="105">
        <f>F35+F36+F37+F38</f>
        <v>1566300</v>
      </c>
      <c r="G39" s="105">
        <f t="shared" ref="G39:J39" si="1">G35+G36+G37+G38</f>
        <v>557685.00000000012</v>
      </c>
      <c r="H39" s="105">
        <f t="shared" si="1"/>
        <v>572556.60000000009</v>
      </c>
      <c r="I39" s="105">
        <f t="shared" si="1"/>
        <v>562741.34400000004</v>
      </c>
      <c r="J39" s="105">
        <f t="shared" si="1"/>
        <v>531790.57007999998</v>
      </c>
      <c r="K39" s="106">
        <f t="shared" ref="K39" si="2">SUM(F39:J39)</f>
        <v>3791073.5140800001</v>
      </c>
    </row>
    <row r="40" spans="2:11" ht="15.75" thickBot="1" x14ac:dyDescent="0.3">
      <c r="B40" s="149"/>
      <c r="C40" s="149"/>
      <c r="D40" s="170"/>
      <c r="E40" s="170"/>
      <c r="F40" s="1"/>
      <c r="G40" s="1"/>
      <c r="H40" s="1"/>
      <c r="I40" s="1"/>
      <c r="J40" s="1"/>
      <c r="K40" s="1"/>
    </row>
    <row r="41" spans="2:11" ht="15.75" thickBot="1" x14ac:dyDescent="0.3">
      <c r="B41" s="155" t="s">
        <v>52</v>
      </c>
      <c r="C41" s="156"/>
      <c r="D41" s="156"/>
      <c r="E41" s="156"/>
      <c r="F41" s="156"/>
      <c r="G41" s="156"/>
      <c r="H41" s="156"/>
      <c r="I41" s="156"/>
      <c r="J41" s="156"/>
      <c r="K41" s="157"/>
    </row>
    <row r="42" spans="2:11" x14ac:dyDescent="0.25">
      <c r="B42" s="158" t="s">
        <v>42</v>
      </c>
      <c r="C42" s="158"/>
      <c r="D42" s="158"/>
      <c r="E42" s="158"/>
      <c r="F42" s="62">
        <f>($D$29+$D$30)*$D$15*5</f>
        <v>2375000</v>
      </c>
      <c r="G42" s="62">
        <v>0</v>
      </c>
      <c r="H42" s="62">
        <v>0</v>
      </c>
      <c r="I42" s="62">
        <v>0</v>
      </c>
      <c r="J42" s="62">
        <v>0</v>
      </c>
      <c r="K42" s="62">
        <f>IFERROR(SUM(F42:J42),0)</f>
        <v>2375000</v>
      </c>
    </row>
    <row r="43" spans="2:11" x14ac:dyDescent="0.25">
      <c r="B43" s="171" t="s">
        <v>43</v>
      </c>
      <c r="C43" s="171"/>
      <c r="D43" s="171"/>
      <c r="E43" s="171"/>
      <c r="F43" s="63">
        <f>$D$29*$D$18</f>
        <v>0</v>
      </c>
      <c r="G43" s="63">
        <v>0</v>
      </c>
      <c r="H43" s="63">
        <v>0</v>
      </c>
      <c r="I43" s="63">
        <v>0</v>
      </c>
      <c r="J43" s="63">
        <v>0</v>
      </c>
      <c r="K43" s="62">
        <f t="shared" ref="K43:K45" si="3">IFERROR(SUM(F43:J43),0)</f>
        <v>0</v>
      </c>
    </row>
    <row r="44" spans="2:11" x14ac:dyDescent="0.25">
      <c r="B44" s="163" t="s">
        <v>53</v>
      </c>
      <c r="C44" s="163"/>
      <c r="D44" s="163"/>
      <c r="E44" s="163"/>
      <c r="F44" s="64">
        <f>0</f>
        <v>0</v>
      </c>
      <c r="G44" s="64">
        <v>0</v>
      </c>
      <c r="H44" s="64">
        <v>0</v>
      </c>
      <c r="I44" s="64">
        <f>IFERROR($D$30*(1-$D$20)*(1-($D$20+$D$21))*(1-($D$20+2*$D$21))*MIN($D$20+3*$D$21,1)*$D$19,0)</f>
        <v>81053.279999999999</v>
      </c>
      <c r="J44" s="64">
        <f>IFERROR($D$30*(1-$D$20)*(1-($D$20+$D$21))*(1-($D$20+2*$D$21))*(1-($D$20+3*$D$21))*MIN($D$20+4*$D$21,1)*$D$19,0)</f>
        <v>76595.349600000001</v>
      </c>
      <c r="K44" s="62">
        <f t="shared" si="3"/>
        <v>157648.62959999999</v>
      </c>
    </row>
    <row r="45" spans="2:11" ht="15.75" thickBot="1" x14ac:dyDescent="0.3">
      <c r="B45" s="163" t="s">
        <v>118</v>
      </c>
      <c r="C45" s="163"/>
      <c r="D45" s="163"/>
      <c r="E45" s="163"/>
      <c r="F45" s="64">
        <f>IFERROR($D$30*MIN($D$20,1)*$D$25*$D$24*$D$23,0)</f>
        <v>66300</v>
      </c>
      <c r="G45" s="64">
        <f>IFERROR($D$30*(1-$D$20)*MIN($D$20+$D$21,1)*$D$25*$D$24*$D$23,0)</f>
        <v>71604.000000000015</v>
      </c>
      <c r="H45" s="64">
        <f>IFERROR($D$30*(1-$D$20)*(1-($D$20+$D$21))*MIN($D$20+2*$D$21,1)*$D$25*$D$24*$D$23,0)</f>
        <v>73513.440000000017</v>
      </c>
      <c r="I45" s="64">
        <f>IFERROR($D$30*(1-$D$20)*(1-($D$20+$D$21))*(1-($D$20+2*$D$21))*MIN($D$20+3*$D$21,1)*$D$26*$D$24*$D$23,0)</f>
        <v>481688.06400000001</v>
      </c>
      <c r="J45" s="64">
        <f>IFERROR($D$30*(1-$D$20)*(1-($D$20+$D$21))*(1-($D$20+2*$D$21))*(1-($D$20+3*$D$21))*MIN($D$20+4*$D$21,1)*$D$26*$D$24*$D$23,0)</f>
        <v>455195.22048000002</v>
      </c>
      <c r="K45" s="62">
        <f t="shared" si="3"/>
        <v>1148300.7244799999</v>
      </c>
    </row>
    <row r="46" spans="2:11" ht="15.75" thickBot="1" x14ac:dyDescent="0.3">
      <c r="B46" s="172" t="s">
        <v>54</v>
      </c>
      <c r="C46" s="173"/>
      <c r="D46" s="173"/>
      <c r="E46" s="173"/>
      <c r="F46" s="65">
        <f>F42+F43+F44+F45</f>
        <v>2441300</v>
      </c>
      <c r="G46" s="65">
        <f t="shared" ref="G46:J46" si="4">G42+G43+G44+G45</f>
        <v>71604.000000000015</v>
      </c>
      <c r="H46" s="65">
        <f t="shared" si="4"/>
        <v>73513.440000000017</v>
      </c>
      <c r="I46" s="65">
        <f t="shared" si="4"/>
        <v>562741.34400000004</v>
      </c>
      <c r="J46" s="65">
        <f t="shared" si="4"/>
        <v>531790.57007999998</v>
      </c>
      <c r="K46" s="66">
        <f t="shared" ref="K46" si="5">SUM(F46:J46)</f>
        <v>3680949.35408</v>
      </c>
    </row>
    <row r="47" spans="2:11" ht="15.75" thickBot="1" x14ac:dyDescent="0.3">
      <c r="B47" s="149"/>
      <c r="C47" s="149"/>
      <c r="D47" s="170"/>
      <c r="E47" s="170"/>
      <c r="F47" s="1"/>
      <c r="G47" s="1"/>
      <c r="H47" s="1"/>
      <c r="I47" s="1"/>
      <c r="J47" s="1"/>
      <c r="K47" s="1"/>
    </row>
    <row r="48" spans="2:11" ht="15.75" thickBot="1" x14ac:dyDescent="0.3">
      <c r="B48" s="174" t="s">
        <v>58</v>
      </c>
      <c r="C48" s="175"/>
      <c r="D48" s="175"/>
      <c r="E48" s="175"/>
      <c r="F48" s="175"/>
      <c r="G48" s="175"/>
      <c r="H48" s="175"/>
      <c r="I48" s="175"/>
      <c r="J48" s="175"/>
      <c r="K48" s="176"/>
    </row>
    <row r="49" spans="1:11" x14ac:dyDescent="0.25">
      <c r="B49" s="169" t="s">
        <v>55</v>
      </c>
      <c r="C49" s="169"/>
      <c r="D49" s="169"/>
      <c r="E49" s="169"/>
      <c r="F49" s="67">
        <f>$D$29*$D$11</f>
        <v>532500</v>
      </c>
      <c r="G49" s="67">
        <v>0</v>
      </c>
      <c r="H49" s="67">
        <v>0</v>
      </c>
      <c r="I49" s="67">
        <v>0</v>
      </c>
      <c r="J49" s="67">
        <v>0</v>
      </c>
      <c r="K49" s="67">
        <f>IFERROR(SUM(F49:J49),0)</f>
        <v>532500</v>
      </c>
    </row>
    <row r="50" spans="1:11" x14ac:dyDescent="0.25">
      <c r="B50" s="168" t="s">
        <v>61</v>
      </c>
      <c r="C50" s="168"/>
      <c r="D50" s="168"/>
      <c r="E50" s="168"/>
      <c r="F50" s="68">
        <f>$D$29*$D$16*5</f>
        <v>178125</v>
      </c>
      <c r="G50" s="68">
        <v>0</v>
      </c>
      <c r="H50" s="68">
        <v>0</v>
      </c>
      <c r="I50" s="68">
        <v>0</v>
      </c>
      <c r="J50" s="68">
        <v>0</v>
      </c>
      <c r="K50" s="67">
        <f t="shared" ref="K50:K52" si="6">IFERROR(SUM(F50:J50),0)</f>
        <v>178125</v>
      </c>
    </row>
    <row r="51" spans="1:11" x14ac:dyDescent="0.25">
      <c r="B51" s="177" t="s">
        <v>68</v>
      </c>
      <c r="C51" s="177"/>
      <c r="D51" s="177"/>
      <c r="E51" s="177"/>
      <c r="F51" s="69">
        <f>IFERROR($D$30*$D$20*$D$19,0)</f>
        <v>74375</v>
      </c>
      <c r="G51" s="69">
        <f>IFERROR($D$30*(1-$D$20)*MIN($D$20+$D$21,1)*$D$19,0)</f>
        <v>80325.000000000015</v>
      </c>
      <c r="H51" s="69">
        <f>IFERROR($D$30*(1-$D$20)*(1-($D$20+$D$21))*MIN($D$20+2*$D$21,1)*$D$19,0)</f>
        <v>82467.000000000015</v>
      </c>
      <c r="I51" s="69">
        <f>IFERROR($D$30*(1-$D$20)*(1-($D$20+$D$21))*(1-($D$20+2*$D$21))*MIN($D$20+3*$D$21,1)*$D$19,0)</f>
        <v>81053.279999999999</v>
      </c>
      <c r="J51" s="69">
        <f>IFERROR($D$30*(1-$D$20)*(1-($D$20+$D$21))*(1-($D$20+2*D21))*(1-($D$20+3*$D$21))*MIN($D$20+4*$D$21,1)*$D$19,0)</f>
        <v>76595.349600000001</v>
      </c>
      <c r="K51" s="67">
        <f t="shared" si="6"/>
        <v>394815.62960000004</v>
      </c>
    </row>
    <row r="52" spans="1:11" x14ac:dyDescent="0.25">
      <c r="B52" s="177" t="s">
        <v>119</v>
      </c>
      <c r="C52" s="177"/>
      <c r="D52" s="177"/>
      <c r="E52" s="177"/>
      <c r="F52" s="69">
        <f>IFERROR($D$30*MIN($D$20,1)*$D$26*$D$24*$D$23,0)</f>
        <v>442000</v>
      </c>
      <c r="G52" s="69">
        <f>IFERROR($D$30*(1-$D$20)*MIN($D$20+$D$21,1)*$D$26*$D$24*$D$23,0)</f>
        <v>477360.00000000012</v>
      </c>
      <c r="H52" s="69">
        <f>IFERROR($D$30*(1-$D$20)*(1-($D$20+$D$21))*MIN($D$20+2*$D$21,1)*$D$26*$D$24*$D$23,0)</f>
        <v>490089.60000000003</v>
      </c>
      <c r="I52" s="69">
        <f>IFERROR($D$30*(1-$D$20)*(1-($D$20+$D$21))*(1-($D$20+2*$D$21))*MIN($D$20+3*$D$21,1)*$D$26*$D$24*$D$23,0)</f>
        <v>481688.06400000001</v>
      </c>
      <c r="J52" s="69">
        <f>IFERROR($D$30*(1-$D$20)*(1-($D$20+$D$21))*(1-($D$20+2*$D$21))*(1-($D$20+3*$D$21))*MIN($D$20+4*$D$21,1)*$D$26*$D$24*$D$23,0)</f>
        <v>455195.22048000002</v>
      </c>
      <c r="K52" s="67">
        <f t="shared" si="6"/>
        <v>2346332.88448</v>
      </c>
    </row>
    <row r="53" spans="1:11" ht="15.75" thickBot="1" x14ac:dyDescent="0.3">
      <c r="B53" s="177" t="s">
        <v>127</v>
      </c>
      <c r="C53" s="177"/>
      <c r="D53" s="177"/>
      <c r="E53" s="177"/>
      <c r="F53" s="69">
        <f>IFERROR($D$29*MIN($D$20*0.5,1)*$D$25*$D$24*$D$23,0)</f>
        <v>5850</v>
      </c>
      <c r="G53" s="69">
        <f>IFERROR($D$29*(1-$D$20*0.5)*MIN($D$20*0.5+$D$21*0.5,1)*$D$25*$D$24*$D$23,0)</f>
        <v>6669</v>
      </c>
      <c r="H53" s="69">
        <f>IFERROR($D$29*(1-$D$20*0.5)*(1-($D$20*0.5+$D$21*0.5))*MIN($D$20*0.5+2*$D$21*0.5,1)*$D$25*$D$24*$D$23,0)</f>
        <v>7313.6700000000019</v>
      </c>
      <c r="I53" s="69">
        <f>IFERROR($D$29*(1-$D$20*0.5)*(1-($D$20*0.5+$D$21*0.5))*(1-($D$20*0.5+2*$D$21*0.5))*MIN($D$20*0.5+3*$D$21*0.5,1)*$D$25*$D$24*$D$23,0)</f>
        <v>7773.3864000000003</v>
      </c>
      <c r="J53" s="69">
        <f>IFERROR($D$29*(1-$D$20*0.5)*(1-($D$20*0.5+$D$21*0.5))*(1-($D$20*0.5+2*$D$21*0.5))*(1-($D$20*0.5+3*$D$21*0.5))*MIN($D$20*0.5+4*$D$21*0.5,1)*$D$25*$D$24*$D$23,0)</f>
        <v>8045.4549239999997</v>
      </c>
      <c r="K53" s="67">
        <f t="shared" ref="K53" si="7">IFERROR(SUM(F53:J53),0)</f>
        <v>35651.511323999999</v>
      </c>
    </row>
    <row r="54" spans="1:11" ht="15.75" thickBot="1" x14ac:dyDescent="0.3">
      <c r="B54" s="178" t="s">
        <v>56</v>
      </c>
      <c r="C54" s="179"/>
      <c r="D54" s="179"/>
      <c r="E54" s="179"/>
      <c r="F54" s="103">
        <f>F49+F50+F51+F52+F53</f>
        <v>1232850</v>
      </c>
      <c r="G54" s="103">
        <f t="shared" ref="G54:J54" si="8">G49+G50+G51+G52+G53</f>
        <v>564354.00000000012</v>
      </c>
      <c r="H54" s="103">
        <f t="shared" si="8"/>
        <v>579870.27000000014</v>
      </c>
      <c r="I54" s="103">
        <f t="shared" si="8"/>
        <v>570514.7304</v>
      </c>
      <c r="J54" s="103">
        <f t="shared" si="8"/>
        <v>539836.02500399994</v>
      </c>
      <c r="K54" s="104">
        <f t="shared" ref="K54" si="9">SUM(F54:J54)</f>
        <v>3487425.0254040002</v>
      </c>
    </row>
    <row r="55" spans="1:11" ht="15.75" thickBot="1" x14ac:dyDescent="0.3">
      <c r="B55" s="149"/>
      <c r="C55" s="149"/>
      <c r="D55" s="170"/>
      <c r="E55" s="170"/>
      <c r="F55" s="1"/>
      <c r="G55" s="1"/>
      <c r="H55" s="1"/>
      <c r="I55" s="1"/>
      <c r="J55" s="1"/>
      <c r="K55" s="1"/>
    </row>
    <row r="56" spans="1:11" ht="15.75" thickBot="1" x14ac:dyDescent="0.3">
      <c r="B56" s="182" t="s">
        <v>59</v>
      </c>
      <c r="C56" s="183"/>
      <c r="D56" s="183"/>
      <c r="E56" s="183"/>
      <c r="F56" s="183"/>
      <c r="G56" s="183"/>
      <c r="H56" s="183"/>
      <c r="I56" s="183"/>
      <c r="J56" s="183"/>
      <c r="K56" s="184"/>
    </row>
    <row r="57" spans="1:11" x14ac:dyDescent="0.25">
      <c r="B57" s="185" t="s">
        <v>57</v>
      </c>
      <c r="C57" s="185"/>
      <c r="D57" s="185"/>
      <c r="E57" s="185"/>
      <c r="F57" s="55">
        <f>$D$9*$D$11</f>
        <v>3550000</v>
      </c>
      <c r="G57" s="55">
        <v>0</v>
      </c>
      <c r="H57" s="55">
        <v>0</v>
      </c>
      <c r="I57" s="55">
        <v>0</v>
      </c>
      <c r="J57" s="55">
        <v>0</v>
      </c>
      <c r="K57" s="55">
        <f>IFERROR(SUM(F57:J57),0)</f>
        <v>3550000</v>
      </c>
    </row>
    <row r="58" spans="1:11" ht="15.75" thickBot="1" x14ac:dyDescent="0.3">
      <c r="B58" s="186" t="s">
        <v>62</v>
      </c>
      <c r="C58" s="186"/>
      <c r="D58" s="186"/>
      <c r="E58" s="186"/>
      <c r="F58" s="56">
        <f>$D$9*$D$16*5</f>
        <v>1187500</v>
      </c>
      <c r="G58" s="56">
        <v>0</v>
      </c>
      <c r="H58" s="56">
        <v>0</v>
      </c>
      <c r="I58" s="56">
        <v>0</v>
      </c>
      <c r="J58" s="56">
        <v>0</v>
      </c>
      <c r="K58" s="55">
        <f t="shared" ref="K58:K60" si="10">IFERROR(SUM(F58:J58),0)</f>
        <v>1187500</v>
      </c>
    </row>
    <row r="59" spans="1:11" ht="15.75" thickBot="1" x14ac:dyDescent="0.3">
      <c r="A59" s="43"/>
      <c r="B59" s="186" t="s">
        <v>60</v>
      </c>
      <c r="C59" s="186"/>
      <c r="D59" s="186"/>
      <c r="E59" s="186"/>
      <c r="F59" s="56">
        <f>-$D$30*D12</f>
        <v>-425000</v>
      </c>
      <c r="G59" s="56">
        <v>0</v>
      </c>
      <c r="H59" s="56">
        <v>0</v>
      </c>
      <c r="I59" s="56">
        <v>0</v>
      </c>
      <c r="J59" s="56">
        <v>0</v>
      </c>
      <c r="K59" s="55">
        <f t="shared" si="10"/>
        <v>-425000</v>
      </c>
    </row>
    <row r="60" spans="1:11" ht="15.75" thickBot="1" x14ac:dyDescent="0.3">
      <c r="B60" s="186" t="s">
        <v>120</v>
      </c>
      <c r="C60" s="186"/>
      <c r="D60" s="186"/>
      <c r="E60" s="186"/>
      <c r="F60" s="56">
        <f>IFERROR($D$9*MIN($D$20*0.5,1)*$D$25*$D$24*$D$23,0)</f>
        <v>39000</v>
      </c>
      <c r="G60" s="56">
        <f>IFERROR($D$9*(1-$D$20*0.5)*MIN($D$20*0.5+$D$21*0.5,1)*$D$25*$D$24*$D$23,0)</f>
        <v>44460</v>
      </c>
      <c r="H60" s="56">
        <f>IFERROR($D$9*(1-$D$20*0.5)*(1-($D$20*0.5+$D$21*0.5))*MIN($D$20*0.5+2*$D$21*0.5,1)*$D$25*$D$24*$D$23,0)</f>
        <v>48757.8</v>
      </c>
      <c r="I60" s="56">
        <f>IFERROR($D$9*(1-$D$20*0.5)*(1-($D$20*0.5+$D$21*0.5))*(1-($D$20*0.5+2*$D$21*0.5))*MIN($D$20*0.5+3*$D$21*0.5,1)*$D$25*$D$24*$D$23,0)</f>
        <v>51822.576000000001</v>
      </c>
      <c r="J60" s="56">
        <f>IFERROR($D$9*(1-$D$20*0.5)*(1-($D$20*0.5+$D$21*0.5))*(1-($D$20*0.5+2*$D$21*0.5))*(1-($D$20*0.5+3*$D$21*0.5))*MIN($D$20*0.5+4*$D$21*0.5,1)*$D$25*$D$24*$D$23,0)</f>
        <v>53636.366159999998</v>
      </c>
      <c r="K60" s="55">
        <f t="shared" si="10"/>
        <v>237676.74215999999</v>
      </c>
    </row>
    <row r="61" spans="1:11" ht="15.75" thickBot="1" x14ac:dyDescent="0.3">
      <c r="B61" s="180" t="s">
        <v>67</v>
      </c>
      <c r="C61" s="181"/>
      <c r="D61" s="181"/>
      <c r="E61" s="181"/>
      <c r="F61" s="57">
        <f>F57+F58+F59+F60</f>
        <v>4351500</v>
      </c>
      <c r="G61" s="57">
        <f t="shared" ref="G61:J61" si="11">G57+G58+G59+G60</f>
        <v>44460</v>
      </c>
      <c r="H61" s="57">
        <f t="shared" si="11"/>
        <v>48757.8</v>
      </c>
      <c r="I61" s="57">
        <f t="shared" si="11"/>
        <v>51822.576000000001</v>
      </c>
      <c r="J61" s="57">
        <f t="shared" si="11"/>
        <v>53636.366159999998</v>
      </c>
      <c r="K61" s="58">
        <f t="shared" ref="K61" si="12">SUM(F61:J61)</f>
        <v>4550176.7421599999</v>
      </c>
    </row>
    <row r="62" spans="1:11" ht="15.75" thickBot="1" x14ac:dyDescent="0.3">
      <c r="B62" s="149"/>
      <c r="C62" s="149"/>
      <c r="D62" s="170"/>
      <c r="E62" s="170"/>
      <c r="F62" s="1"/>
      <c r="G62" s="1"/>
      <c r="H62" s="1"/>
      <c r="I62" s="1"/>
      <c r="J62" s="1"/>
      <c r="K62" s="1"/>
    </row>
    <row r="63" spans="1:11" ht="15.75" thickBot="1" x14ac:dyDescent="0.3">
      <c r="B63" s="150" t="s">
        <v>122</v>
      </c>
      <c r="C63" s="150"/>
      <c r="D63" s="150"/>
      <c r="E63" s="150"/>
      <c r="F63" s="150"/>
      <c r="G63" s="150"/>
      <c r="H63" s="150"/>
      <c r="I63" s="150"/>
      <c r="J63" s="150"/>
      <c r="K63" s="151"/>
    </row>
    <row r="64" spans="1:11" x14ac:dyDescent="0.25">
      <c r="B64" s="162" t="s">
        <v>46</v>
      </c>
      <c r="C64" s="162"/>
      <c r="D64" s="162"/>
      <c r="E64" s="162"/>
      <c r="F64" s="46" t="s">
        <v>47</v>
      </c>
      <c r="G64" s="46" t="s">
        <v>48</v>
      </c>
      <c r="H64" s="46" t="s">
        <v>49</v>
      </c>
      <c r="I64" s="46" t="s">
        <v>50</v>
      </c>
      <c r="J64" s="46" t="s">
        <v>51</v>
      </c>
      <c r="K64" s="46" t="s">
        <v>95</v>
      </c>
    </row>
    <row r="65" spans="2:11" x14ac:dyDescent="0.25">
      <c r="B65" s="153" t="s">
        <v>66</v>
      </c>
      <c r="C65" s="153"/>
      <c r="D65" s="153"/>
      <c r="E65" s="153"/>
      <c r="F65" s="28">
        <f>IFERROR(F39,0)</f>
        <v>1566300</v>
      </c>
      <c r="G65" s="28">
        <f>IFERROR(K39,0)</f>
        <v>3791073.5140800001</v>
      </c>
      <c r="H65" s="35" t="s">
        <v>69</v>
      </c>
      <c r="I65" s="16" t="s">
        <v>73</v>
      </c>
      <c r="J65" s="27" t="str">
        <f>IF(G65=MIN($G$65:$G$68),"— LOWEST","+ "&amp;TEXT(G65-MIN($G$65:$G$68),"$#,##0"))</f>
        <v>+ $303,648</v>
      </c>
      <c r="K65" s="26">
        <f>RANK(G65, ($G$65:$G$68),1)</f>
        <v>3</v>
      </c>
    </row>
    <row r="66" spans="2:11" x14ac:dyDescent="0.25">
      <c r="B66" s="163" t="s">
        <v>65</v>
      </c>
      <c r="C66" s="163"/>
      <c r="D66" s="163"/>
      <c r="E66" s="163"/>
      <c r="F66" s="29">
        <f>IFERROR(F46,0)</f>
        <v>2441300</v>
      </c>
      <c r="G66" s="30">
        <f>IFERROR(K46,0)</f>
        <v>3680949.35408</v>
      </c>
      <c r="H66" s="36" t="s">
        <v>70</v>
      </c>
      <c r="I66" s="18" t="s">
        <v>75</v>
      </c>
      <c r="J66" s="17" t="str">
        <f t="shared" ref="J66:J68" si="13">IF(G66=MIN($G$65:$G$68),"— LOWEST","+ "&amp;TEXT(G66-MIN($G$65:$G$68),"$#,##0"))</f>
        <v>+ $193,524</v>
      </c>
      <c r="K66" s="25">
        <f t="shared" ref="K66:K68" si="14">RANK(G66, ($G$65:$G$68),1)</f>
        <v>2</v>
      </c>
    </row>
    <row r="67" spans="2:11" x14ac:dyDescent="0.25">
      <c r="B67" s="168" t="s">
        <v>64</v>
      </c>
      <c r="C67" s="168"/>
      <c r="D67" s="168"/>
      <c r="E67" s="168"/>
      <c r="F67" s="31">
        <f>IFERROR(F54,0)</f>
        <v>1232850</v>
      </c>
      <c r="G67" s="32">
        <f>IFERROR(K54,0)</f>
        <v>3487425.0254040002</v>
      </c>
      <c r="H67" s="37" t="s">
        <v>71</v>
      </c>
      <c r="I67" s="19" t="s">
        <v>121</v>
      </c>
      <c r="J67" s="22" t="str">
        <f t="shared" si="13"/>
        <v>— LOWEST</v>
      </c>
      <c r="K67" s="24">
        <f t="shared" si="14"/>
        <v>1</v>
      </c>
    </row>
    <row r="68" spans="2:11" x14ac:dyDescent="0.25">
      <c r="B68" s="165" t="s">
        <v>63</v>
      </c>
      <c r="C68" s="166"/>
      <c r="D68" s="166"/>
      <c r="E68" s="167"/>
      <c r="F68" s="33">
        <f>IFERROR(F61,0)</f>
        <v>4351500</v>
      </c>
      <c r="G68" s="34">
        <f>IFERROR(K61,0)</f>
        <v>4550176.7421599999</v>
      </c>
      <c r="H68" s="38" t="s">
        <v>72</v>
      </c>
      <c r="I68" s="20" t="s">
        <v>74</v>
      </c>
      <c r="J68" s="21" t="str">
        <f t="shared" si="13"/>
        <v>+ $1,062,752</v>
      </c>
      <c r="K68" s="23">
        <f t="shared" si="14"/>
        <v>4</v>
      </c>
    </row>
    <row r="69" spans="2:11" x14ac:dyDescent="0.25">
      <c r="B69" s="164"/>
      <c r="C69" s="164"/>
      <c r="D69" s="161"/>
      <c r="E69" s="161"/>
      <c r="K69" s="15"/>
    </row>
  </sheetData>
  <mergeCells count="77">
    <mergeCell ref="B63:K63"/>
    <mergeCell ref="B34:K34"/>
    <mergeCell ref="B38:E38"/>
    <mergeCell ref="B45:E45"/>
    <mergeCell ref="B30:C30"/>
    <mergeCell ref="B31:C31"/>
    <mergeCell ref="E30:G30"/>
    <mergeCell ref="B62:C62"/>
    <mergeCell ref="B59:E59"/>
    <mergeCell ref="A1:K3"/>
    <mergeCell ref="E7:I7"/>
    <mergeCell ref="B8:I8"/>
    <mergeCell ref="E9:I9"/>
    <mergeCell ref="E10:I10"/>
    <mergeCell ref="E11:I11"/>
    <mergeCell ref="E12:I12"/>
    <mergeCell ref="B13:I13"/>
    <mergeCell ref="E14:I14"/>
    <mergeCell ref="B4:J4"/>
    <mergeCell ref="B6:J6"/>
    <mergeCell ref="B7:C7"/>
    <mergeCell ref="B9:C9"/>
    <mergeCell ref="B5:J5"/>
    <mergeCell ref="E15:I15"/>
    <mergeCell ref="E16:I16"/>
    <mergeCell ref="B17:I17"/>
    <mergeCell ref="E18:I18"/>
    <mergeCell ref="E19:I19"/>
    <mergeCell ref="E20:I20"/>
    <mergeCell ref="E21:I21"/>
    <mergeCell ref="B33:C33"/>
    <mergeCell ref="E28:G28"/>
    <mergeCell ref="E29:G29"/>
    <mergeCell ref="D33:E33"/>
    <mergeCell ref="E31:F31"/>
    <mergeCell ref="B22:I22"/>
    <mergeCell ref="E23:I23"/>
    <mergeCell ref="E24:I24"/>
    <mergeCell ref="B29:C29"/>
    <mergeCell ref="E25:I25"/>
    <mergeCell ref="E26:I26"/>
    <mergeCell ref="E27:I27"/>
    <mergeCell ref="B61:E61"/>
    <mergeCell ref="D62:E62"/>
    <mergeCell ref="B56:K56"/>
    <mergeCell ref="B57:E57"/>
    <mergeCell ref="B58:E58"/>
    <mergeCell ref="B60:E60"/>
    <mergeCell ref="B47:C47"/>
    <mergeCell ref="B49:E49"/>
    <mergeCell ref="B40:C40"/>
    <mergeCell ref="D55:E55"/>
    <mergeCell ref="D40:E40"/>
    <mergeCell ref="B50:E50"/>
    <mergeCell ref="D47:E47"/>
    <mergeCell ref="B43:E43"/>
    <mergeCell ref="B44:E44"/>
    <mergeCell ref="B46:E46"/>
    <mergeCell ref="B48:K48"/>
    <mergeCell ref="B53:E53"/>
    <mergeCell ref="B55:C55"/>
    <mergeCell ref="B51:E51"/>
    <mergeCell ref="B54:E54"/>
    <mergeCell ref="B52:E52"/>
    <mergeCell ref="D69:E69"/>
    <mergeCell ref="B64:E64"/>
    <mergeCell ref="B65:E65"/>
    <mergeCell ref="B66:E66"/>
    <mergeCell ref="B69:C69"/>
    <mergeCell ref="B68:E68"/>
    <mergeCell ref="B67:E67"/>
    <mergeCell ref="B35:E35"/>
    <mergeCell ref="B36:E36"/>
    <mergeCell ref="B37:E37"/>
    <mergeCell ref="B41:K41"/>
    <mergeCell ref="B42:E42"/>
    <mergeCell ref="B39:E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Cost-Benefit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Kerins</dc:creator>
  <cp:lastModifiedBy>Jackson Kerins</cp:lastModifiedBy>
  <dcterms:created xsi:type="dcterms:W3CDTF">2026-08-30T20:27:52Z</dcterms:created>
  <dcterms:modified xsi:type="dcterms:W3CDTF">2026-08-31T17:26:45Z</dcterms:modified>
</cp:coreProperties>
</file>