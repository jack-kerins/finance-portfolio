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ack\Downloads\"/>
    </mc:Choice>
  </mc:AlternateContent>
  <xr:revisionPtr revIDLastSave="0" documentId="13_ncr:1_{2374BC07-20CE-4782-9CC0-7BF0F5011B1D}" xr6:coauthVersionLast="47" xr6:coauthVersionMax="47" xr10:uidLastSave="{00000000-0000-0000-0000-000000000000}"/>
  <bookViews>
    <workbookView xWindow="-110" yWindow="-110" windowWidth="19420" windowHeight="11500" tabRatio="500" firstSheet="7" activeTab="10" xr2:uid="{00000000-000D-0000-FFFF-FFFF00000000}"/>
  </bookViews>
  <sheets>
    <sheet name="README" sheetId="1" r:id="rId1"/>
    <sheet name="Assumptions" sheetId="2" r:id="rId2"/>
    <sheet name="Revenue Build" sheetId="3" r:id="rId3"/>
    <sheet name="Opex &amp; EBITDA" sheetId="4" r:id="rId4"/>
    <sheet name="Capex &amp; DA" sheetId="5" r:id="rId5"/>
    <sheet name="Working Capital" sheetId="6" r:id="rId6"/>
    <sheet name="Unlevered FCF" sheetId="7" r:id="rId7"/>
    <sheet name="WACC" sheetId="8" r:id="rId8"/>
    <sheet name="DCF &amp; Valuation" sheetId="9" r:id="rId9"/>
    <sheet name="Sensitivity" sheetId="10" r:id="rId10"/>
    <sheet name="Summary Dashboard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1" i="11" l="1"/>
  <c r="B12" i="11" s="1"/>
  <c r="B10" i="11"/>
  <c r="B9" i="11"/>
  <c r="B8" i="11"/>
  <c r="B7" i="11"/>
  <c r="B6" i="11"/>
  <c r="C37" i="10"/>
  <c r="D37" i="10"/>
  <c r="E37" i="10"/>
  <c r="F37" i="10"/>
  <c r="G37" i="10"/>
  <c r="C38" i="10"/>
  <c r="D38" i="10"/>
  <c r="E38" i="10"/>
  <c r="F38" i="10"/>
  <c r="G38" i="10"/>
  <c r="C39" i="10"/>
  <c r="D39" i="10"/>
  <c r="E39" i="10"/>
  <c r="F39" i="10"/>
  <c r="G39" i="10"/>
  <c r="C40" i="10"/>
  <c r="D40" i="10"/>
  <c r="E40" i="10"/>
  <c r="F40" i="10"/>
  <c r="G40" i="10"/>
  <c r="D36" i="10"/>
  <c r="E36" i="10"/>
  <c r="F36" i="10"/>
  <c r="G36" i="10"/>
  <c r="C36" i="10"/>
  <c r="G16" i="10"/>
  <c r="F16" i="10"/>
  <c r="E16" i="10"/>
  <c r="D16" i="10"/>
  <c r="C16" i="10"/>
  <c r="G20" i="10"/>
  <c r="F20" i="10"/>
  <c r="E20" i="10"/>
  <c r="D20" i="10"/>
  <c r="C20" i="10"/>
  <c r="G19" i="10"/>
  <c r="F19" i="10"/>
  <c r="E19" i="10"/>
  <c r="D19" i="10"/>
  <c r="C19" i="10"/>
  <c r="G18" i="10"/>
  <c r="F18" i="10"/>
  <c r="E18" i="10"/>
  <c r="D18" i="10"/>
  <c r="C18" i="10"/>
  <c r="G17" i="10"/>
  <c r="F17" i="10"/>
  <c r="E17" i="10"/>
  <c r="D17" i="10"/>
  <c r="C17" i="10"/>
  <c r="G15" i="10"/>
  <c r="F15" i="10"/>
  <c r="E15" i="10"/>
  <c r="D15" i="10"/>
  <c r="C15" i="10"/>
  <c r="G14" i="10"/>
  <c r="F14" i="10"/>
  <c r="E14" i="10"/>
  <c r="D14" i="10"/>
  <c r="C14" i="10"/>
  <c r="G13" i="10"/>
  <c r="F13" i="10"/>
  <c r="E13" i="10"/>
  <c r="D13" i="10"/>
  <c r="C13" i="10"/>
  <c r="C7" i="7"/>
  <c r="D7" i="7"/>
  <c r="E7" i="7"/>
  <c r="B7" i="7"/>
  <c r="C14" i="4"/>
  <c r="D14" i="4"/>
  <c r="E14" i="4"/>
  <c r="B14" i="4"/>
  <c r="B10" i="8"/>
  <c r="B9" i="8"/>
  <c r="B8" i="8"/>
  <c r="C10" i="7"/>
  <c r="D10" i="7"/>
  <c r="E10" i="7"/>
  <c r="C11" i="7"/>
  <c r="D11" i="7"/>
  <c r="E11" i="7"/>
  <c r="C12" i="7"/>
  <c r="D12" i="7"/>
  <c r="E12" i="7"/>
  <c r="B12" i="7"/>
  <c r="B11" i="7"/>
  <c r="B10" i="7"/>
  <c r="C9" i="7"/>
  <c r="D9" i="7"/>
  <c r="E9" i="7"/>
  <c r="C8" i="7"/>
  <c r="D8" i="7"/>
  <c r="E8" i="7"/>
  <c r="F8" i="7"/>
  <c r="G8" i="7"/>
  <c r="H8" i="7"/>
  <c r="I8" i="7"/>
  <c r="B8" i="7"/>
  <c r="B9" i="7"/>
  <c r="B13" i="7" s="1"/>
  <c r="E11" i="6"/>
  <c r="E10" i="6"/>
  <c r="E9" i="6"/>
  <c r="B39" i="2"/>
  <c r="B37" i="2"/>
  <c r="B34" i="2"/>
  <c r="B7" i="8" s="1"/>
  <c r="B25" i="2"/>
  <c r="B8" i="6"/>
  <c r="C25" i="2"/>
  <c r="D25" i="2"/>
  <c r="C24" i="2"/>
  <c r="D24" i="2"/>
  <c r="B24" i="2"/>
  <c r="C23" i="2"/>
  <c r="D23" i="2"/>
  <c r="B23" i="2"/>
  <c r="D13" i="6"/>
  <c r="C13" i="6"/>
  <c r="C12" i="6"/>
  <c r="D12" i="6"/>
  <c r="B12" i="6"/>
  <c r="C8" i="6"/>
  <c r="D8" i="6"/>
  <c r="E8" i="6"/>
  <c r="C7" i="6"/>
  <c r="D7" i="6"/>
  <c r="E7" i="6"/>
  <c r="B7" i="6"/>
  <c r="C13" i="4"/>
  <c r="D13" i="4"/>
  <c r="E13" i="4"/>
  <c r="B13" i="4"/>
  <c r="E12" i="5"/>
  <c r="E10" i="5"/>
  <c r="E11" i="5"/>
  <c r="E8" i="5"/>
  <c r="B19" i="2"/>
  <c r="C19" i="2"/>
  <c r="D19" i="2"/>
  <c r="C20" i="2"/>
  <c r="D20" i="2"/>
  <c r="B20" i="2"/>
  <c r="D9" i="5"/>
  <c r="E9" i="5"/>
  <c r="F9" i="5"/>
  <c r="C9" i="5"/>
  <c r="C13" i="5"/>
  <c r="D13" i="5"/>
  <c r="E13" i="5"/>
  <c r="B13" i="5"/>
  <c r="C7" i="5"/>
  <c r="D7" i="5"/>
  <c r="E7" i="5"/>
  <c r="B7" i="5"/>
  <c r="C12" i="4"/>
  <c r="D12" i="4"/>
  <c r="E12" i="4"/>
  <c r="B12" i="4"/>
  <c r="E11" i="4"/>
  <c r="E10" i="4"/>
  <c r="E8" i="4"/>
  <c r="E9" i="4" s="1"/>
  <c r="C16" i="2"/>
  <c r="D16" i="2"/>
  <c r="B16" i="2"/>
  <c r="C15" i="2"/>
  <c r="D15" i="2"/>
  <c r="B15" i="2"/>
  <c r="C14" i="2"/>
  <c r="D14" i="2"/>
  <c r="B14" i="2"/>
  <c r="C9" i="4"/>
  <c r="D9" i="4"/>
  <c r="B9" i="4"/>
  <c r="C7" i="4"/>
  <c r="D7" i="4"/>
  <c r="E7" i="4"/>
  <c r="B7" i="4"/>
  <c r="B40" i="2" l="1"/>
  <c r="B11" i="8" s="1"/>
  <c r="C9" i="9" s="1"/>
  <c r="E9" i="9"/>
  <c r="F9" i="9"/>
  <c r="D13" i="7"/>
  <c r="C13" i="7"/>
  <c r="E13" i="7"/>
  <c r="B7" i="9" s="1"/>
  <c r="E12" i="6"/>
  <c r="E13" i="6"/>
  <c r="F8" i="3"/>
  <c r="G8" i="3" s="1"/>
  <c r="H8" i="3" s="1"/>
  <c r="I8" i="3" s="1"/>
  <c r="J8" i="3" s="1"/>
  <c r="F7" i="3"/>
  <c r="F9" i="3" s="1"/>
  <c r="C9" i="2"/>
  <c r="D9" i="2"/>
  <c r="C8" i="2"/>
  <c r="D8" i="2"/>
  <c r="B8" i="2"/>
  <c r="D11" i="2"/>
  <c r="C11" i="2"/>
  <c r="B11" i="2"/>
  <c r="C10" i="2"/>
  <c r="D10" i="2"/>
  <c r="B10" i="2"/>
  <c r="B9" i="2"/>
  <c r="D9" i="9" l="1"/>
  <c r="B9" i="9"/>
  <c r="B10" i="9" s="1"/>
  <c r="G7" i="3"/>
  <c r="E11" i="2"/>
  <c r="E10" i="2"/>
  <c r="G9" i="3" l="1"/>
  <c r="H7" i="3"/>
  <c r="F7" i="4" l="1"/>
  <c r="F7" i="6"/>
  <c r="F10" i="6" s="1"/>
  <c r="F7" i="5"/>
  <c r="I7" i="3"/>
  <c r="H9" i="3"/>
  <c r="G10" i="2"/>
  <c r="F11" i="2"/>
  <c r="F10" i="2"/>
  <c r="F8" i="5" l="1"/>
  <c r="F11" i="5"/>
  <c r="G11" i="2"/>
  <c r="G7" i="4"/>
  <c r="G7" i="5"/>
  <c r="G7" i="6"/>
  <c r="G10" i="6" s="1"/>
  <c r="F11" i="4"/>
  <c r="F8" i="4"/>
  <c r="F8" i="6" s="1"/>
  <c r="F10" i="4"/>
  <c r="F9" i="4"/>
  <c r="F12" i="4" s="1"/>
  <c r="I9" i="3"/>
  <c r="H10" i="2" s="1"/>
  <c r="J7" i="3"/>
  <c r="F7" i="7" l="1"/>
  <c r="F9" i="7" s="1"/>
  <c r="H11" i="2"/>
  <c r="H7" i="4"/>
  <c r="H7" i="5"/>
  <c r="H7" i="6"/>
  <c r="H10" i="6" s="1"/>
  <c r="F9" i="6"/>
  <c r="F11" i="6"/>
  <c r="G8" i="5"/>
  <c r="G11" i="7" s="1"/>
  <c r="G11" i="5"/>
  <c r="G10" i="4"/>
  <c r="G11" i="4"/>
  <c r="G8" i="4"/>
  <c r="F13" i="4"/>
  <c r="F14" i="4" s="1"/>
  <c r="F12" i="5"/>
  <c r="F10" i="7"/>
  <c r="F10" i="5"/>
  <c r="F11" i="7"/>
  <c r="J9" i="3"/>
  <c r="I10" i="2"/>
  <c r="G12" i="5" l="1"/>
  <c r="F12" i="6"/>
  <c r="F13" i="6" s="1"/>
  <c r="F12" i="7" s="1"/>
  <c r="G9" i="4"/>
  <c r="G12" i="4" s="1"/>
  <c r="G8" i="6"/>
  <c r="G13" i="4"/>
  <c r="G10" i="7"/>
  <c r="H11" i="5"/>
  <c r="H8" i="5"/>
  <c r="H11" i="7" s="1"/>
  <c r="H12" i="5"/>
  <c r="H10" i="4"/>
  <c r="H8" i="4"/>
  <c r="H11" i="4"/>
  <c r="I11" i="2"/>
  <c r="I7" i="4"/>
  <c r="I7" i="6"/>
  <c r="I10" i="6" s="1"/>
  <c r="I7" i="5"/>
  <c r="F13" i="5"/>
  <c r="G9" i="5"/>
  <c r="G10" i="5" s="1"/>
  <c r="F13" i="7"/>
  <c r="C7" i="9" s="1"/>
  <c r="C10" i="9" s="1"/>
  <c r="I11" i="5" l="1"/>
  <c r="I8" i="5"/>
  <c r="I11" i="7" s="1"/>
  <c r="G13" i="5"/>
  <c r="H9" i="5"/>
  <c r="H10" i="5" s="1"/>
  <c r="I8" i="4"/>
  <c r="I10" i="4"/>
  <c r="I11" i="4"/>
  <c r="H9" i="4"/>
  <c r="H12" i="4" s="1"/>
  <c r="H8" i="6"/>
  <c r="I12" i="5"/>
  <c r="H13" i="4"/>
  <c r="H10" i="7"/>
  <c r="G9" i="6"/>
  <c r="G11" i="6"/>
  <c r="G7" i="7"/>
  <c r="G9" i="7" s="1"/>
  <c r="G14" i="4"/>
  <c r="H11" i="6" l="1"/>
  <c r="H9" i="6"/>
  <c r="H12" i="6" s="1"/>
  <c r="G12" i="6"/>
  <c r="G13" i="6" s="1"/>
  <c r="G12" i="7" s="1"/>
  <c r="G13" i="7" s="1"/>
  <c r="D7" i="9" s="1"/>
  <c r="D10" i="9" s="1"/>
  <c r="I9" i="4"/>
  <c r="I12" i="4" s="1"/>
  <c r="I8" i="6"/>
  <c r="H14" i="4"/>
  <c r="H7" i="7"/>
  <c r="H9" i="7" s="1"/>
  <c r="I9" i="5"/>
  <c r="I10" i="5" s="1"/>
  <c r="I13" i="5" s="1"/>
  <c r="H13" i="5"/>
  <c r="I13" i="4"/>
  <c r="I10" i="7"/>
  <c r="I9" i="6" l="1"/>
  <c r="I11" i="6"/>
  <c r="I7" i="7"/>
  <c r="I14" i="4"/>
  <c r="H13" i="6"/>
  <c r="H12" i="7" s="1"/>
  <c r="H13" i="7" s="1"/>
  <c r="E7" i="9" s="1"/>
  <c r="E10" i="9" s="1"/>
  <c r="I9" i="7" l="1"/>
  <c r="I12" i="6"/>
  <c r="I13" i="6" s="1"/>
  <c r="I12" i="7" s="1"/>
  <c r="I13" i="7" l="1"/>
  <c r="F7" i="9" s="1"/>
  <c r="F12" i="9" l="1"/>
  <c r="F13" i="9" s="1"/>
  <c r="F10" i="9"/>
  <c r="B11" i="9" s="1"/>
  <c r="B16" i="9" l="1"/>
  <c r="B18" i="9" s="1"/>
  <c r="B20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Main</author>
  </authors>
  <commentList>
    <comment ref="A25" authorId="0" shapeId="0" xr:uid="{EF564513-A618-4800-8B88-20D64383B278}">
      <text>
        <r>
          <rPr>
            <b/>
            <sz val="9"/>
            <color indexed="81"/>
            <rFont val="Tahoma"/>
            <family val="2"/>
          </rPr>
          <t>Main:</t>
        </r>
        <r>
          <rPr>
            <sz val="9"/>
            <color indexed="81"/>
            <rFont val="Tahoma"/>
            <family val="2"/>
          </rPr>
          <t xml:space="preserve">
Dexcom discloses 'Accounts payable and accrued liabilities' as a combined balance sheet line - no standalone AP figure is broken out. DPO here reflects the combined balance, not pure trade payables. </t>
        </r>
      </text>
    </comment>
    <comment ref="A33" authorId="0" shapeId="0" xr:uid="{DE789060-FE34-4759-9517-C99F62E0EDA3}">
      <text>
        <r>
          <rPr>
            <b/>
            <sz val="9"/>
            <color indexed="81"/>
            <rFont val="Tahoma"/>
            <family val="2"/>
          </rPr>
          <t>Main:</t>
        </r>
        <r>
          <rPr>
            <sz val="9"/>
            <color indexed="81"/>
            <rFont val="Tahoma"/>
            <family val="2"/>
          </rPr>
          <t xml:space="preserve">
Picked the consensus/median rather than cherry-picking the highest or lowest. </t>
        </r>
      </text>
    </comment>
    <comment ref="A35" authorId="0" shapeId="0" xr:uid="{536E019C-A693-4CAE-9A34-AF55ED8A9423}">
      <text>
        <r>
          <rPr>
            <b/>
            <sz val="9"/>
            <color indexed="81"/>
            <rFont val="Tahoma"/>
            <family val="2"/>
          </rPr>
          <t>Main:</t>
        </r>
        <r>
          <rPr>
            <sz val="9"/>
            <color indexed="81"/>
            <rFont val="Tahoma"/>
            <family val="2"/>
          </rPr>
          <t xml:space="preserve">
Dexcom's disclosed effective rate on its convertible notes (0.5-0.7%) reflects embedded equity-conversion value, not a market cost of straight debt - I used a risk-free-plus-spread proxy instead for WACC purposes. </t>
        </r>
      </text>
    </comment>
    <comment ref="A44" authorId="0" shapeId="0" xr:uid="{52C1DADF-EA2B-42DF-BD04-0C0B8A2ABAFB}">
      <text>
        <r>
          <rPr>
            <b/>
            <sz val="9"/>
            <color indexed="81"/>
            <rFont val="Tahoma"/>
            <family val="2"/>
          </rPr>
          <t>Main:</t>
        </r>
        <r>
          <rPr>
            <sz val="9"/>
            <color indexed="81"/>
            <rFont val="Tahoma"/>
            <family val="2"/>
          </rPr>
          <t xml:space="preserve">
Anchored to Dexcom's current trading multiple (~16.4x) rather than assuming rerating.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Main</author>
  </authors>
  <commentList>
    <comment ref="A11" authorId="0" shapeId="0" xr:uid="{17C1D2C0-DC4D-4567-8DD0-25909CF0603C}">
      <text>
        <r>
          <rPr>
            <b/>
            <sz val="9"/>
            <color indexed="81"/>
            <rFont val="Tahoma"/>
            <family val="2"/>
          </rPr>
          <t>Main:</t>
        </r>
        <r>
          <rPr>
            <sz val="9"/>
            <color indexed="81"/>
            <rFont val="Tahoma"/>
            <family val="2"/>
          </rPr>
          <t xml:space="preserve">
Dexcom discloses 'Accounts payable and accrued liabilities' as a combined balance sheet line - no standalone AP figure is broken out. DPO here reflects the combined balance, not pure trade payables.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Main</author>
  </authors>
  <commentList>
    <comment ref="A13" authorId="0" shapeId="0" xr:uid="{D342BDBE-5FBA-421E-88CC-43072002D8E7}">
      <text>
        <r>
          <rPr>
            <b/>
            <sz val="9"/>
            <color indexed="81"/>
            <rFont val="Tahoma"/>
            <family val="2"/>
          </rPr>
          <t>Main:</t>
        </r>
        <r>
          <rPr>
            <sz val="9"/>
            <color indexed="81"/>
            <rFont val="Tahoma"/>
            <family val="2"/>
          </rPr>
          <t xml:space="preserve">
Unlevered FCF grows from $196.0M (FY2023A) to $1,241.5M (FY2030E) - that's roughly 6.3x growth over 8 years, driven by revenue growth, margin expansion, and the working capital tailwind all compounding.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Main</author>
  </authors>
  <commentList>
    <comment ref="B20" authorId="0" shapeId="0" xr:uid="{ADE65EE3-7C9C-4EC5-AE49-0C4A828EB27D}">
      <text>
        <r>
          <rPr>
            <b/>
            <sz val="9"/>
            <color indexed="81"/>
            <rFont val="Tahoma"/>
            <family val="2"/>
          </rPr>
          <t>Main:</t>
        </r>
        <r>
          <rPr>
            <sz val="9"/>
            <color indexed="81"/>
            <rFont val="Tahoma"/>
            <family val="2"/>
          </rPr>
          <t xml:space="preserve">
vs. current market price ~$86-89 (see Sensitivity tab for gap analysis) 
</t>
        </r>
      </text>
    </comment>
  </commentList>
</comments>
</file>

<file path=xl/sharedStrings.xml><?xml version="1.0" encoding="utf-8"?>
<sst xmlns="http://schemas.openxmlformats.org/spreadsheetml/2006/main" count="220" uniqueCount="145">
  <si>
    <t>Color legend:</t>
  </si>
  <si>
    <t>Yellow fill = key assumption / output worth flagging (e.g. WACC, terminal growth)</t>
  </si>
  <si>
    <t>Tab order and what each is for:</t>
  </si>
  <si>
    <t>DexCom, Inc. (NASDAQ: DXCM) — DCF Model</t>
  </si>
  <si>
    <t>Tab 1: Assumptions &amp; Drivers</t>
  </si>
  <si>
    <t>$ in millions unless noted. Fiscal year ends Dec 31.</t>
  </si>
  <si>
    <t>Line item</t>
  </si>
  <si>
    <t>FY2023A</t>
  </si>
  <si>
    <t>FY2024A</t>
  </si>
  <si>
    <t>FY2025A</t>
  </si>
  <si>
    <t>FY2026E</t>
  </si>
  <si>
    <t>FY2027E</t>
  </si>
  <si>
    <t>FY2028E</t>
  </si>
  <si>
    <t>FY2029E</t>
  </si>
  <si>
    <t>FY2030E</t>
  </si>
  <si>
    <t>1. Revenue Drivers — Geographic Mix &amp; Growth</t>
  </si>
  <si>
    <t>US revenue growth (%)</t>
  </si>
  <si>
    <t>International revenue growth (%)</t>
  </si>
  <si>
    <t>US revenue (% of total)</t>
  </si>
  <si>
    <t>International revenue (% of total)</t>
  </si>
  <si>
    <t>2. Margin Assumptions</t>
  </si>
  <si>
    <t>Gross margin (%)</t>
  </si>
  <si>
    <t>R&amp;D expense (% of revenue)</t>
  </si>
  <si>
    <t>SG&amp;A expense (% of revenue)</t>
  </si>
  <si>
    <t>3. Capex &amp; D&amp;A</t>
  </si>
  <si>
    <t>Capex (% of revenue)</t>
  </si>
  <si>
    <t>D&amp;A (% of revenue)</t>
  </si>
  <si>
    <t>4. Working Capital</t>
  </si>
  <si>
    <t>Inventory days (DIO, based on COGS)</t>
  </si>
  <si>
    <t>Accounts receivable days (DSO, based on revenue)</t>
  </si>
  <si>
    <t>Accounts payable days (DPO, based on COGS)</t>
  </si>
  <si>
    <t>5. Tax Rate</t>
  </si>
  <si>
    <t>Effective tax rate (%)</t>
  </si>
  <si>
    <t>6. WACC Inputs (single point-in-time estimate — put in column B only)</t>
  </si>
  <si>
    <t>Risk-free rate (10yr UST)</t>
  </si>
  <si>
    <t>Equity risk premium</t>
  </si>
  <si>
    <t>Levered beta</t>
  </si>
  <si>
    <t>Cost of equity (CAPM) — formula</t>
  </si>
  <si>
    <t>Pre-tax cost of debt</t>
  </si>
  <si>
    <t>Tax rate (for WACC)</t>
  </si>
  <si>
    <t>After-tax cost of debt — formula</t>
  </si>
  <si>
    <t>Target debt / total capital</t>
  </si>
  <si>
    <t>Target equity / total capital — formula</t>
  </si>
  <si>
    <t>WACC — formula</t>
  </si>
  <si>
    <t>7. Terminal Value Assumptions</t>
  </si>
  <si>
    <t>Terminal (perpetuity) growth rate</t>
  </si>
  <si>
    <t>Exit EV/EBITDA multiple (cross-check)</t>
  </si>
  <si>
    <t>Tab 2: Revenue Build</t>
  </si>
  <si>
    <t>US revenue</t>
  </si>
  <si>
    <t>International revenue</t>
  </si>
  <si>
    <t>Total revenue</t>
  </si>
  <si>
    <t>Tab 3: Opex, EBITDA &amp; EBIT</t>
  </si>
  <si>
    <t>Total revenue (link)</t>
  </si>
  <si>
    <t>Cost of sales</t>
  </si>
  <si>
    <t>Gross profit</t>
  </si>
  <si>
    <t>R&amp;D expense</t>
  </si>
  <si>
    <t>SG&amp;A expense</t>
  </si>
  <si>
    <t>EBITDA</t>
  </si>
  <si>
    <t>D&amp;A (link from Capex &amp; D&amp;A tab)</t>
  </si>
  <si>
    <t>EBIT</t>
  </si>
  <si>
    <t>Tab 4: Capex &amp; D&amp;A Schedule</t>
  </si>
  <si>
    <t>Capex</t>
  </si>
  <si>
    <t>Beginning gross PP&amp;E</t>
  </si>
  <si>
    <t>Ending gross PP&amp;E</t>
  </si>
  <si>
    <t>D&amp;A expense</t>
  </si>
  <si>
    <t>Accumulated D&amp;A</t>
  </si>
  <si>
    <t>Net PP&amp;E</t>
  </si>
  <si>
    <t>Tab 5: Working Capital Schedule</t>
  </si>
  <si>
    <t>Cost of sales (link)</t>
  </si>
  <si>
    <t>Inventory</t>
  </si>
  <si>
    <t>Accounts receivable</t>
  </si>
  <si>
    <t>Net working capital</t>
  </si>
  <si>
    <t>Change in NWC (cash flow impact)</t>
  </si>
  <si>
    <t>Tab 6: Unlevered Free Cash Flow</t>
  </si>
  <si>
    <t>EBIT (link)</t>
  </si>
  <si>
    <t>Tax rate (link)</t>
  </si>
  <si>
    <t>NOPAT (EBIT x (1-tax))</t>
  </si>
  <si>
    <t>Plus: D&amp;A</t>
  </si>
  <si>
    <t>Less: Capex</t>
  </si>
  <si>
    <t>Less: Increase in NWC</t>
  </si>
  <si>
    <t>Unlevered Free Cash Flow</t>
  </si>
  <si>
    <t>Tab 7: WACC Build</t>
  </si>
  <si>
    <t>Cost of equity (CAPM)</t>
  </si>
  <si>
    <t>After-tax cost of debt</t>
  </si>
  <si>
    <t>Equity weight</t>
  </si>
  <si>
    <t>Debt weight</t>
  </si>
  <si>
    <t>WACC</t>
  </si>
  <si>
    <t>Tab 8: DCF &amp; Valuation</t>
  </si>
  <si>
    <t>Unlevered FCF (link)</t>
  </si>
  <si>
    <t>Discount period</t>
  </si>
  <si>
    <t>Discount factor (1/(1+WACC)^n)</t>
  </si>
  <si>
    <t>PV of FCF</t>
  </si>
  <si>
    <t>Sum of PV of explicit FCF</t>
  </si>
  <si>
    <t>Terminal value (Gordon Growth)</t>
  </si>
  <si>
    <t>PV of terminal value</t>
  </si>
  <si>
    <t>Enterprise value</t>
  </si>
  <si>
    <t>Less: net debt</t>
  </si>
  <si>
    <t>Equity value</t>
  </si>
  <si>
    <t>Diluted shares outstanding</t>
  </si>
  <si>
    <t>Implied share price</t>
  </si>
  <si>
    <t>Tab 9: Sensitivity Analysis</t>
  </si>
  <si>
    <t>Tab 10: Summary Dashboard</t>
  </si>
  <si>
    <t>Implied share price (DCF)</t>
  </si>
  <si>
    <t>Current market share price</t>
  </si>
  <si>
    <t>Sensitivity table snapshot</t>
  </si>
  <si>
    <t>FY2022A</t>
  </si>
  <si>
    <t>Accounts payable &amp; accrued liabilities</t>
  </si>
  <si>
    <t>Valuation Summary</t>
  </si>
  <si>
    <t>Sensitivity: Implied Share Price - WACC vs. Terminal Growth</t>
  </si>
  <si>
    <t>Terminal Growth</t>
  </si>
  <si>
    <t>Base case: WACC 10.29%, Terminal growth 2.5% ---&gt; Implied share price of $45.47 (vs. current market price ~$86-89)</t>
  </si>
  <si>
    <t>Table Legend: Green = lower implied value, Red = higher implied value</t>
  </si>
  <si>
    <t>Revenue Growth</t>
  </si>
  <si>
    <t>Exit Multiple</t>
  </si>
  <si>
    <t>Base case: 0% EBITDA adjustment, 16.5x exit multiple ---&gt; Implied share price of $78.2(vs. Gordon Growth base case of $45.47)</t>
  </si>
  <si>
    <t>Gordon Growth assumes a lower implied exit multiple (~8x) than Dexcom's current trading multiple (16.5x), suggesting the perpetuity method may understate terminal value relative to market-based pricing.</t>
  </si>
  <si>
    <t>Terminal growth rate</t>
  </si>
  <si>
    <t>FY2026E US revenue growth</t>
  </si>
  <si>
    <t>FY2026E International revenue growth</t>
  </si>
  <si>
    <t>FY2030E EBITDA margin</t>
  </si>
  <si>
    <t>Implied upside/downside</t>
  </si>
  <si>
    <t>See Sensitivity tab for full WACC/Growth and Revenue/Multiple grids</t>
  </si>
  <si>
    <t>Sensitivity: Implied Share Price -  Revenue Growth vs. Exit Multiple</t>
  </si>
  <si>
    <t>Key Assumptions Recap</t>
  </si>
  <si>
    <t>Key Judgment Calls</t>
  </si>
  <si>
    <r>
      <t xml:space="preserve">• </t>
    </r>
    <r>
      <rPr>
        <b/>
        <sz val="10"/>
        <color theme="1"/>
        <rFont val="Arial"/>
        <family val="2"/>
      </rPr>
      <t>Reimbursement risk</t>
    </r>
    <r>
      <rPr>
        <sz val="10"/>
        <color theme="1"/>
        <rFont val="Arial"/>
        <family val="2"/>
      </rPr>
      <t>: Dexcom's own 10-K flags Medicare competitive bidding changes starting 2028 expected to lower CGM reimbursement. That's a company-acknowledged headwind on US growth specifically.</t>
    </r>
  </si>
  <si>
    <r>
      <t xml:space="preserve">• </t>
    </r>
    <r>
      <rPr>
        <b/>
        <sz val="10"/>
        <color theme="1"/>
        <rFont val="Arial"/>
        <family val="2"/>
      </rPr>
      <t>Terminal value cross-check</t>
    </r>
    <r>
      <rPr>
        <sz val="10"/>
        <color theme="1"/>
        <rFont val="Arial"/>
        <family val="2"/>
      </rPr>
      <t>: Gordon Growth implies a terminal EV/EBITDA multiple of ~8x, well below Dexcom's current trading multiple(~16.5x). This model's base case is more conservative than current market pricing - a deliberate choice to avoid reverse-engineering assumptions to match the market, though it means the DCF output($45.47) sits meaningfully below both the current share price(~86-89) and other published DCF estimates.</t>
    </r>
  </si>
  <si>
    <r>
      <t xml:space="preserve">• </t>
    </r>
    <r>
      <rPr>
        <b/>
        <sz val="10"/>
        <color theme="1"/>
        <rFont val="Arial"/>
        <family val="2"/>
      </rPr>
      <t>Beta assumption:</t>
    </r>
    <r>
      <rPr>
        <sz val="10"/>
        <color theme="1"/>
        <rFont val="Arial"/>
        <family val="2"/>
      </rPr>
      <t xml:space="preserve"> Used a beta of ~1.45, consistent with most data providers (Google Finance, StockAnalysis.com), despite one outlier source (TradingView) showing 0.75. Chose the consensus estimate over the low outlier for a more defensible WACC.</t>
    </r>
  </si>
  <si>
    <r>
      <t>• Cost of debt</t>
    </r>
    <r>
      <rPr>
        <sz val="10"/>
        <color theme="1"/>
        <rFont val="Arial"/>
        <family val="2"/>
      </rPr>
      <t>: Used a market-based proxy (risk-free rate + credit spread, ~5.75%) rather than Dexcom's disclosed convertible note effective rates(0.5-0.7%), since those reflect embedded equity-conversion value rather than the cost of straight debt.</t>
    </r>
  </si>
  <si>
    <r>
      <t xml:space="preserve">• </t>
    </r>
    <r>
      <rPr>
        <b/>
        <sz val="10"/>
        <color theme="1"/>
        <rFont val="Arial"/>
        <family val="2"/>
      </rPr>
      <t>Working capital data limitation</t>
    </r>
    <r>
      <rPr>
        <sz val="10"/>
        <color theme="1"/>
        <rFont val="Arial"/>
        <family val="2"/>
      </rPr>
      <t>: Dexcom discloses "Accounts payable and accrued liabilities" as a single combined balance, not pure trade payables.</t>
    </r>
  </si>
  <si>
    <t>About this model</t>
  </si>
  <si>
    <t>Model structure notes:</t>
  </si>
  <si>
    <t>10. Summary Dashboard: one-page output: implied share price, key assumptions</t>
  </si>
  <si>
    <t>2. Revenue Build: turns US/International growth + pricing assumptions into a $ revenue line</t>
  </si>
  <si>
    <t>3. Opex &amp; EBITDA: gross margin, R&amp;D, and SG&amp;A assumptions turn revenue into EBITDA/EBIT</t>
  </si>
  <si>
    <t>4. Capex &amp; D&amp;A: capital spending (manufacturing capacity) and depreciation schedule</t>
  </si>
  <si>
    <t>5. Working Capital: inventory, receivables, payables -&gt; change in NWC (a cash flow adjustment)</t>
  </si>
  <si>
    <t>6. Unlevered FCF: combines EBIT, tax, D&amp;A, capex, and NWC change into free cash flow</t>
  </si>
  <si>
    <t>7. WACC: cost of capital build (CAPM cost of equity + after-tax cost of debt, weighted)</t>
  </si>
  <si>
    <t>8. DCF &amp; Valuation: discounts each year's FCF + terminal value back to present value</t>
  </si>
  <si>
    <t>9. Sensitivity: data tables flexing WACC and terminal growth (or other drivers) against valuation</t>
  </si>
  <si>
    <t>Revenue is driven by geographic mix (US vs. International) and reimbursement/pricing dynamics, reflecting DexCom's actual disclosed segmentation. R&amp;D is broken out separately from SG&amp;A, (~13% of revenue) since it's a large enough expense to isolate rather than hide it inside a single opex line. Working capital includes real accounts receivable (DSO), since Dexcom sells largely through insurance channels rather than for cash.</t>
  </si>
  <si>
    <t>Blue text = hardcoded input</t>
  </si>
  <si>
    <t>Black text = formula</t>
  </si>
  <si>
    <t>1. Assumptions: every driver and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</si>
</sst>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7" formatCode="&quot;$&quot;#,##0.00_);\(&quot;$&quot;#,##0.00\)"/>
    <numFmt numFmtId="43" formatCode="_(* #,##0.00_);_(* \(#,##0.00\);_(* &quot;-&quot;??_);_(@_)"/>
    <numFmt numFmtId="164" formatCode="0.0%"/>
    <numFmt numFmtId="165" formatCode="_(* #,##0.0_);_(* \(#,##0.0\);_(* &quot;-&quot;?_);_(@_)"/>
    <numFmt numFmtId="166" formatCode="_(* #,##0.000_);_(* \(#,##0.000\);_(* &quot;-&quot;???_);_(@_)"/>
    <numFmt numFmtId="167" formatCode="&quot;$&quot;#,##0.00"/>
    <numFmt numFmtId="168" formatCode="&quot;$&quot;#,##0.0"/>
    <numFmt numFmtId="169" formatCode="#,##0.0"/>
    <numFmt numFmtId="170" formatCode="&quot;$&quot;#,##0.0_);\(&quot;$&quot;#,##0.0\)"/>
  </numFmts>
  <fonts count="20" x14ac:knownFonts="1">
    <font>
      <sz val="10"/>
      <color theme="1"/>
      <name val="Arial"/>
      <family val="2"/>
    </font>
    <font>
      <b/>
      <sz val="14"/>
      <color rgb="FF1F4E78"/>
      <name val="Arial"/>
      <charset val="1"/>
    </font>
    <font>
      <sz val="10"/>
      <color rgb="FF000000"/>
      <name val="Arial"/>
      <charset val="1"/>
    </font>
    <font>
      <b/>
      <i/>
      <sz val="9"/>
      <name val="Arial"/>
      <charset val="1"/>
    </font>
    <font>
      <i/>
      <sz val="11"/>
      <color rgb="FF666666"/>
      <name val="Arial"/>
      <charset val="1"/>
    </font>
    <font>
      <i/>
      <sz val="9"/>
      <color rgb="FF808080"/>
      <name val="Arial"/>
      <charset val="1"/>
    </font>
    <font>
      <b/>
      <sz val="10"/>
      <color rgb="FFFFFFFF"/>
      <name val="Arial"/>
      <charset val="1"/>
    </font>
    <font>
      <b/>
      <sz val="10"/>
      <color rgb="FF1F4E78"/>
      <name val="Arial"/>
      <charset val="1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theme="3" tint="0.39991454817346722"/>
      <name val="Arial"/>
      <family val="2"/>
    </font>
    <font>
      <sz val="9"/>
      <color indexed="81"/>
      <name val="Tahoma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9"/>
      <color indexed="81"/>
      <name val="Tahoma"/>
      <family val="2"/>
    </font>
    <font>
      <u/>
      <sz val="10"/>
      <color theme="10"/>
      <name val="Arial"/>
      <family val="2"/>
    </font>
    <font>
      <b/>
      <sz val="14"/>
      <color rgb="FF1F4E78"/>
      <name val="Arial"/>
      <family val="2"/>
    </font>
    <font>
      <sz val="10"/>
      <color rgb="FF0000FF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1F2"/>
        <bgColor rgb="FFFCE4D6"/>
      </patternFill>
    </fill>
    <fill>
      <patternFill patternType="solid">
        <fgColor rgb="FFFFEB9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-0.249977111117893"/>
        <bgColor rgb="FF003366"/>
      </patternFill>
    </fill>
    <fill>
      <patternFill patternType="solid">
        <fgColor theme="4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14999847407452621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/>
      <top style="thin">
        <color theme="0" tint="-0.249977111117893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</borders>
  <cellStyleXfs count="4">
    <xf numFmtId="165" fontId="0" fillId="0" borderId="0"/>
    <xf numFmtId="0" fontId="11" fillId="4" borderId="0" applyNumberFormat="0" applyBorder="0" applyAlignment="0" applyProtection="0"/>
    <xf numFmtId="0" fontId="11" fillId="0" borderId="2" applyNumberFormat="0" applyAlignment="0" applyProtection="0"/>
    <xf numFmtId="165" fontId="16" fillId="0" borderId="0" applyNumberFormat="0" applyFill="0" applyBorder="0" applyAlignment="0" applyProtection="0"/>
  </cellStyleXfs>
  <cellXfs count="101">
    <xf numFmtId="165" fontId="0" fillId="0" borderId="0" xfId="0"/>
    <xf numFmtId="165" fontId="1" fillId="0" borderId="0" xfId="0" applyFont="1"/>
    <xf numFmtId="165" fontId="2" fillId="0" borderId="0" xfId="0" applyFont="1"/>
    <xf numFmtId="165" fontId="3" fillId="0" borderId="0" xfId="0" applyFont="1"/>
    <xf numFmtId="165" fontId="4" fillId="0" borderId="0" xfId="0" applyFont="1"/>
    <xf numFmtId="165" fontId="5" fillId="0" borderId="0" xfId="0" applyFont="1"/>
    <xf numFmtId="165" fontId="7" fillId="3" borderId="1" xfId="0" applyFont="1" applyFill="1" applyBorder="1"/>
    <xf numFmtId="165" fontId="2" fillId="3" borderId="1" xfId="0" applyFont="1" applyFill="1" applyBorder="1"/>
    <xf numFmtId="165" fontId="2" fillId="0" borderId="1" xfId="0" applyFont="1" applyBorder="1"/>
    <xf numFmtId="165" fontId="2" fillId="0" borderId="3" xfId="0" applyFont="1" applyBorder="1"/>
    <xf numFmtId="165" fontId="0" fillId="0" borderId="4" xfId="0" applyBorder="1"/>
    <xf numFmtId="164" fontId="2" fillId="0" borderId="1" xfId="0" applyNumberFormat="1" applyFont="1" applyBorder="1"/>
    <xf numFmtId="164" fontId="9" fillId="0" borderId="1" xfId="0" applyNumberFormat="1" applyFont="1" applyBorder="1"/>
    <xf numFmtId="164" fontId="11" fillId="0" borderId="2" xfId="2" applyNumberFormat="1"/>
    <xf numFmtId="165" fontId="11" fillId="0" borderId="2" xfId="2" applyNumberFormat="1"/>
    <xf numFmtId="10" fontId="2" fillId="0" borderId="1" xfId="0" applyNumberFormat="1" applyFont="1" applyBorder="1"/>
    <xf numFmtId="10" fontId="10" fillId="0" borderId="1" xfId="0" applyNumberFormat="1" applyFont="1" applyBorder="1"/>
    <xf numFmtId="10" fontId="11" fillId="0" borderId="2" xfId="2" applyNumberFormat="1"/>
    <xf numFmtId="43" fontId="11" fillId="0" borderId="2" xfId="2" applyNumberFormat="1"/>
    <xf numFmtId="10" fontId="9" fillId="4" borderId="1" xfId="1" applyNumberFormat="1" applyFont="1" applyBorder="1"/>
    <xf numFmtId="10" fontId="2" fillId="0" borderId="0" xfId="0" applyNumberFormat="1" applyFont="1"/>
    <xf numFmtId="164" fontId="0" fillId="0" borderId="0" xfId="0" applyNumberFormat="1"/>
    <xf numFmtId="7" fontId="0" fillId="0" borderId="6" xfId="0" applyNumberFormat="1" applyBorder="1"/>
    <xf numFmtId="165" fontId="0" fillId="0" borderId="7" xfId="0" applyBorder="1"/>
    <xf numFmtId="10" fontId="0" fillId="0" borderId="0" xfId="0" applyNumberFormat="1"/>
    <xf numFmtId="165" fontId="0" fillId="0" borderId="0" xfId="0" applyAlignment="1">
      <alignment horizontal="right"/>
    </xf>
    <xf numFmtId="165" fontId="0" fillId="0" borderId="5" xfId="0" applyBorder="1"/>
    <xf numFmtId="165" fontId="2" fillId="0" borderId="6" xfId="0" applyFont="1" applyBorder="1"/>
    <xf numFmtId="165" fontId="9" fillId="0" borderId="6" xfId="0" applyFont="1" applyBorder="1"/>
    <xf numFmtId="165" fontId="11" fillId="0" borderId="6" xfId="2" applyNumberFormat="1" applyBorder="1"/>
    <xf numFmtId="165" fontId="10" fillId="0" borderId="6" xfId="0" applyFont="1" applyBorder="1"/>
    <xf numFmtId="165" fontId="11" fillId="0" borderId="6" xfId="2" applyNumberFormat="1" applyBorder="1" applyAlignment="1">
      <alignment vertical="top"/>
    </xf>
    <xf numFmtId="165" fontId="0" fillId="0" borderId="6" xfId="0" applyBorder="1"/>
    <xf numFmtId="10" fontId="2" fillId="0" borderId="6" xfId="0" applyNumberFormat="1" applyFont="1" applyBorder="1"/>
    <xf numFmtId="165" fontId="2" fillId="3" borderId="8" xfId="0" applyFont="1" applyFill="1" applyBorder="1"/>
    <xf numFmtId="10" fontId="11" fillId="0" borderId="6" xfId="2" applyNumberFormat="1" applyBorder="1"/>
    <xf numFmtId="165" fontId="2" fillId="0" borderId="9" xfId="0" applyFont="1" applyBorder="1"/>
    <xf numFmtId="37" fontId="11" fillId="0" borderId="6" xfId="2" applyNumberFormat="1" applyBorder="1"/>
    <xf numFmtId="166" fontId="2" fillId="0" borderId="6" xfId="0" applyNumberFormat="1" applyFont="1" applyBorder="1"/>
    <xf numFmtId="167" fontId="0" fillId="5" borderId="6" xfId="0" applyNumberFormat="1" applyFill="1" applyBorder="1"/>
    <xf numFmtId="165" fontId="2" fillId="0" borderId="8" xfId="0" applyFont="1" applyBorder="1"/>
    <xf numFmtId="165" fontId="11" fillId="0" borderId="10" xfId="2" applyNumberFormat="1" applyBorder="1"/>
    <xf numFmtId="165" fontId="13" fillId="0" borderId="6" xfId="0" applyFont="1" applyBorder="1"/>
    <xf numFmtId="168" fontId="0" fillId="0" borderId="6" xfId="0" applyNumberFormat="1" applyBorder="1"/>
    <xf numFmtId="169" fontId="11" fillId="0" borderId="6" xfId="2" applyNumberFormat="1" applyBorder="1"/>
    <xf numFmtId="170" fontId="11" fillId="0" borderId="6" xfId="2" applyNumberFormat="1" applyBorder="1"/>
    <xf numFmtId="7" fontId="0" fillId="0" borderId="11" xfId="0" applyNumberFormat="1" applyBorder="1"/>
    <xf numFmtId="7" fontId="0" fillId="0" borderId="12" xfId="0" applyNumberFormat="1" applyBorder="1"/>
    <xf numFmtId="7" fontId="0" fillId="0" borderId="13" xfId="0" applyNumberFormat="1" applyBorder="1"/>
    <xf numFmtId="7" fontId="0" fillId="0" borderId="14" xfId="0" applyNumberFormat="1" applyBorder="1"/>
    <xf numFmtId="7" fontId="0" fillId="6" borderId="15" xfId="0" applyNumberFormat="1" applyFill="1" applyBorder="1"/>
    <xf numFmtId="9" fontId="0" fillId="0" borderId="0" xfId="0" applyNumberFormat="1"/>
    <xf numFmtId="165" fontId="14" fillId="0" borderId="0" xfId="0" applyFont="1"/>
    <xf numFmtId="165" fontId="14" fillId="5" borderId="11" xfId="0" applyFont="1" applyFill="1" applyBorder="1"/>
    <xf numFmtId="165" fontId="0" fillId="0" borderId="17" xfId="0" applyBorder="1"/>
    <xf numFmtId="165" fontId="0" fillId="0" borderId="0" xfId="0" applyAlignment="1">
      <alignment horizontal="left" vertical="top"/>
    </xf>
    <xf numFmtId="165" fontId="0" fillId="0" borderId="11" xfId="0" applyBorder="1"/>
    <xf numFmtId="165" fontId="0" fillId="0" borderId="16" xfId="0" applyBorder="1"/>
    <xf numFmtId="165" fontId="0" fillId="0" borderId="12" xfId="0" applyBorder="1"/>
    <xf numFmtId="165" fontId="8" fillId="7" borderId="8" xfId="0" applyFont="1" applyFill="1" applyBorder="1"/>
    <xf numFmtId="165" fontId="6" fillId="7" borderId="1" xfId="0" applyFont="1" applyFill="1" applyBorder="1" applyAlignment="1">
      <alignment horizontal="center"/>
    </xf>
    <xf numFmtId="165" fontId="0" fillId="0" borderId="19" xfId="0" applyBorder="1"/>
    <xf numFmtId="165" fontId="8" fillId="7" borderId="0" xfId="0" applyFont="1" applyFill="1"/>
    <xf numFmtId="165" fontId="6" fillId="7" borderId="0" xfId="0" applyFont="1" applyFill="1" applyAlignment="1">
      <alignment horizontal="center"/>
    </xf>
    <xf numFmtId="165" fontId="6" fillId="7" borderId="1" xfId="0" applyFont="1" applyFill="1" applyBorder="1"/>
    <xf numFmtId="165" fontId="0" fillId="8" borderId="0" xfId="0" applyFill="1"/>
    <xf numFmtId="165" fontId="6" fillId="7" borderId="0" xfId="0" applyFont="1" applyFill="1"/>
    <xf numFmtId="165" fontId="8" fillId="7" borderId="1" xfId="0" applyFont="1" applyFill="1" applyBorder="1" applyAlignment="1">
      <alignment horizontal="center"/>
    </xf>
    <xf numFmtId="7" fontId="0" fillId="0" borderId="15" xfId="0" applyNumberFormat="1" applyBorder="1"/>
    <xf numFmtId="7" fontId="11" fillId="0" borderId="11" xfId="2" applyNumberFormat="1" applyBorder="1" applyAlignment="1">
      <alignment horizontal="left"/>
    </xf>
    <xf numFmtId="7" fontId="11" fillId="0" borderId="20" xfId="2" applyNumberFormat="1" applyBorder="1" applyAlignment="1">
      <alignment horizontal="left"/>
    </xf>
    <xf numFmtId="7" fontId="11" fillId="0" borderId="12" xfId="2" applyNumberFormat="1" applyBorder="1" applyAlignment="1">
      <alignment horizontal="left"/>
    </xf>
    <xf numFmtId="165" fontId="16" fillId="0" borderId="11" xfId="3" applyBorder="1" applyAlignment="1">
      <alignment horizontal="left"/>
    </xf>
    <xf numFmtId="165" fontId="16" fillId="0" borderId="20" xfId="3" applyBorder="1" applyAlignment="1">
      <alignment horizontal="left"/>
    </xf>
    <xf numFmtId="165" fontId="16" fillId="0" borderId="12" xfId="3" applyBorder="1" applyAlignment="1">
      <alignment horizontal="left"/>
    </xf>
    <xf numFmtId="10" fontId="10" fillId="0" borderId="19" xfId="0" applyNumberFormat="1" applyFont="1" applyBorder="1" applyAlignment="1">
      <alignment horizontal="left"/>
    </xf>
    <xf numFmtId="10" fontId="10" fillId="0" borderId="17" xfId="0" applyNumberFormat="1" applyFont="1" applyBorder="1" applyAlignment="1">
      <alignment horizontal="left"/>
    </xf>
    <xf numFmtId="10" fontId="10" fillId="0" borderId="18" xfId="0" applyNumberFormat="1" applyFont="1" applyBorder="1" applyAlignment="1">
      <alignment horizontal="left"/>
    </xf>
    <xf numFmtId="164" fontId="10" fillId="0" borderId="11" xfId="0" applyNumberFormat="1" applyFont="1" applyBorder="1" applyAlignment="1">
      <alignment horizontal="left"/>
    </xf>
    <xf numFmtId="164" fontId="10" fillId="0" borderId="20" xfId="0" applyNumberFormat="1" applyFont="1" applyBorder="1" applyAlignment="1">
      <alignment horizontal="left"/>
    </xf>
    <xf numFmtId="164" fontId="10" fillId="0" borderId="12" xfId="0" applyNumberFormat="1" applyFont="1" applyBorder="1" applyAlignment="1">
      <alignment horizontal="left"/>
    </xf>
    <xf numFmtId="164" fontId="0" fillId="0" borderId="11" xfId="0" applyNumberFormat="1" applyBorder="1" applyAlignment="1">
      <alignment horizontal="left"/>
    </xf>
    <xf numFmtId="164" fontId="0" fillId="0" borderId="20" xfId="0" applyNumberFormat="1" applyBorder="1" applyAlignment="1">
      <alignment horizontal="left"/>
    </xf>
    <xf numFmtId="164" fontId="0" fillId="0" borderId="12" xfId="0" applyNumberFormat="1" applyBorder="1" applyAlignment="1">
      <alignment horizontal="left"/>
    </xf>
    <xf numFmtId="7" fontId="0" fillId="5" borderId="11" xfId="0" applyNumberFormat="1" applyFill="1" applyBorder="1" applyAlignment="1">
      <alignment horizontal="left"/>
    </xf>
    <xf numFmtId="7" fontId="0" fillId="5" borderId="20" xfId="0" applyNumberFormat="1" applyFill="1" applyBorder="1" applyAlignment="1">
      <alignment horizontal="left"/>
    </xf>
    <xf numFmtId="7" fontId="0" fillId="5" borderId="12" xfId="0" applyNumberFormat="1" applyFill="1" applyBorder="1" applyAlignment="1">
      <alignment horizontal="left"/>
    </xf>
    <xf numFmtId="49" fontId="0" fillId="0" borderId="17" xfId="0" applyNumberFormat="1" applyBorder="1" applyAlignment="1">
      <alignment horizontal="left" vertical="top" wrapText="1"/>
    </xf>
    <xf numFmtId="49" fontId="0" fillId="0" borderId="18" xfId="0" applyNumberFormat="1" applyBorder="1" applyAlignment="1">
      <alignment horizontal="left" vertical="top" wrapText="1"/>
    </xf>
    <xf numFmtId="49" fontId="0" fillId="0" borderId="20" xfId="0" applyNumberFormat="1" applyBorder="1" applyAlignment="1">
      <alignment horizontal="left" vertical="top" wrapText="1"/>
    </xf>
    <xf numFmtId="49" fontId="0" fillId="0" borderId="12" xfId="0" applyNumberFormat="1" applyBorder="1" applyAlignment="1">
      <alignment horizontal="left" vertical="top" wrapText="1"/>
    </xf>
    <xf numFmtId="49" fontId="14" fillId="0" borderId="20" xfId="0" applyNumberFormat="1" applyFont="1" applyBorder="1" applyAlignment="1">
      <alignment horizontal="left" vertical="top" wrapText="1"/>
    </xf>
    <xf numFmtId="49" fontId="14" fillId="0" borderId="12" xfId="0" applyNumberFormat="1" applyFont="1" applyBorder="1" applyAlignment="1">
      <alignment horizontal="left" vertical="top" wrapText="1"/>
    </xf>
    <xf numFmtId="165" fontId="17" fillId="0" borderId="0" xfId="0" applyFont="1"/>
    <xf numFmtId="165" fontId="13" fillId="0" borderId="0" xfId="0" applyFont="1"/>
    <xf numFmtId="165" fontId="18" fillId="0" borderId="0" xfId="0" applyFont="1"/>
    <xf numFmtId="165" fontId="10" fillId="0" borderId="0" xfId="0" applyFont="1"/>
    <xf numFmtId="165" fontId="10" fillId="2" borderId="0" xfId="0" applyFont="1" applyFill="1"/>
    <xf numFmtId="165" fontId="19" fillId="0" borderId="0" xfId="0" applyFont="1"/>
    <xf numFmtId="165" fontId="19" fillId="0" borderId="0" xfId="0" applyFont="1" applyAlignment="1"/>
    <xf numFmtId="49" fontId="19" fillId="0" borderId="0" xfId="0" applyNumberFormat="1" applyFont="1" applyAlignment="1">
      <alignment wrapText="1"/>
    </xf>
  </cellXfs>
  <cellStyles count="4">
    <cellStyle name="Hyperlink" xfId="3" builtinId="8"/>
    <cellStyle name="Neutral" xfId="1" builtinId="28" customBuiltin="1"/>
    <cellStyle name="Normal" xfId="0" builtinId="0" customBuiltin="1"/>
    <cellStyle name="Note" xfId="2" builtinId="10" customBuiltin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8"/>
  <sheetViews>
    <sheetView topLeftCell="A5" zoomScaleNormal="100" workbookViewId="0">
      <selection activeCell="A13" sqref="A13"/>
    </sheetView>
  </sheetViews>
  <sheetFormatPr defaultColWidth="8.7265625" defaultRowHeight="12.5" x14ac:dyDescent="0.25"/>
  <cols>
    <col min="1" max="1" width="112" customWidth="1"/>
  </cols>
  <sheetData>
    <row r="1" spans="1:1" ht="18" x14ac:dyDescent="0.4">
      <c r="A1" s="93" t="s">
        <v>130</v>
      </c>
    </row>
    <row r="3" spans="1:1" ht="13" x14ac:dyDescent="0.3">
      <c r="A3" s="94" t="s">
        <v>0</v>
      </c>
    </row>
    <row r="4" spans="1:1" x14ac:dyDescent="0.25">
      <c r="A4" s="95" t="s">
        <v>142</v>
      </c>
    </row>
    <row r="5" spans="1:1" x14ac:dyDescent="0.25">
      <c r="A5" s="96" t="s">
        <v>143</v>
      </c>
    </row>
    <row r="6" spans="1:1" x14ac:dyDescent="0.25">
      <c r="A6" s="97" t="s">
        <v>1</v>
      </c>
    </row>
    <row r="7" spans="1:1" x14ac:dyDescent="0.25">
      <c r="A7" s="96"/>
    </row>
    <row r="9" spans="1:1" ht="13" x14ac:dyDescent="0.3">
      <c r="A9" s="94" t="s">
        <v>131</v>
      </c>
    </row>
    <row r="10" spans="1:1" ht="34.5" x14ac:dyDescent="0.25">
      <c r="A10" s="100" t="s">
        <v>141</v>
      </c>
    </row>
    <row r="11" spans="1:1" x14ac:dyDescent="0.25">
      <c r="A11" s="99"/>
    </row>
    <row r="13" spans="1:1" ht="13" x14ac:dyDescent="0.3">
      <c r="A13" s="94" t="s">
        <v>2</v>
      </c>
    </row>
    <row r="14" spans="1:1" x14ac:dyDescent="0.25">
      <c r="A14" s="98" t="s">
        <v>144</v>
      </c>
    </row>
    <row r="15" spans="1:1" x14ac:dyDescent="0.25">
      <c r="A15" s="98" t="s">
        <v>133</v>
      </c>
    </row>
    <row r="16" spans="1:1" x14ac:dyDescent="0.25">
      <c r="A16" s="98" t="s">
        <v>134</v>
      </c>
    </row>
    <row r="17" spans="1:1" x14ac:dyDescent="0.25">
      <c r="A17" s="98" t="s">
        <v>135</v>
      </c>
    </row>
    <row r="18" spans="1:1" x14ac:dyDescent="0.25">
      <c r="A18" s="98" t="s">
        <v>136</v>
      </c>
    </row>
    <row r="19" spans="1:1" x14ac:dyDescent="0.25">
      <c r="A19" s="98" t="s">
        <v>137</v>
      </c>
    </row>
    <row r="20" spans="1:1" x14ac:dyDescent="0.25">
      <c r="A20" s="98" t="s">
        <v>138</v>
      </c>
    </row>
    <row r="21" spans="1:1" x14ac:dyDescent="0.25">
      <c r="A21" s="98" t="s">
        <v>139</v>
      </c>
    </row>
    <row r="22" spans="1:1" x14ac:dyDescent="0.25">
      <c r="A22" s="98" t="s">
        <v>140</v>
      </c>
    </row>
    <row r="23" spans="1:1" x14ac:dyDescent="0.25">
      <c r="A23" s="98" t="s">
        <v>132</v>
      </c>
    </row>
    <row r="25" spans="1:1" x14ac:dyDescent="0.25">
      <c r="A25" s="3"/>
    </row>
    <row r="28" spans="1:1" ht="14.25" customHeight="1" x14ac:dyDescent="0.25"/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4"/>
  <sheetViews>
    <sheetView showGridLines="0" zoomScale="70" zoomScaleNormal="70" workbookViewId="0">
      <pane xSplit="1" ySplit="6" topLeftCell="B16" activePane="bottomRight" state="frozen"/>
      <selection pane="topRight" activeCell="B1" sqref="B1"/>
      <selection pane="bottomLeft" activeCell="A7" sqref="A7"/>
      <selection pane="bottomRight" activeCell="A15" sqref="A15"/>
    </sheetView>
  </sheetViews>
  <sheetFormatPr defaultColWidth="8.7265625" defaultRowHeight="12.5" x14ac:dyDescent="0.25"/>
  <cols>
    <col min="1" max="1" width="48" customWidth="1"/>
    <col min="2" max="9" width="12" customWidth="1"/>
  </cols>
  <sheetData>
    <row r="1" spans="1:9" ht="18" x14ac:dyDescent="0.4">
      <c r="A1" s="1" t="s">
        <v>3</v>
      </c>
    </row>
    <row r="2" spans="1:9" ht="14.5" x14ac:dyDescent="0.35">
      <c r="A2" s="4" t="s">
        <v>4</v>
      </c>
    </row>
    <row r="3" spans="1:9" ht="13" x14ac:dyDescent="0.3">
      <c r="A3" s="5" t="s">
        <v>5</v>
      </c>
    </row>
    <row r="5" spans="1:9" ht="18" customHeight="1" x14ac:dyDescent="0.3">
      <c r="A5" s="64" t="s">
        <v>6</v>
      </c>
      <c r="B5" s="60" t="s">
        <v>7</v>
      </c>
      <c r="C5" s="60" t="s">
        <v>8</v>
      </c>
      <c r="D5" s="60" t="s">
        <v>9</v>
      </c>
      <c r="E5" s="60" t="s">
        <v>10</v>
      </c>
      <c r="F5" s="60" t="s">
        <v>11</v>
      </c>
      <c r="G5" s="60" t="s">
        <v>12</v>
      </c>
      <c r="H5" s="60" t="s">
        <v>13</v>
      </c>
      <c r="I5" s="60" t="s">
        <v>14</v>
      </c>
    </row>
    <row r="7" spans="1:9" ht="13" x14ac:dyDescent="0.3">
      <c r="A7" s="6" t="s">
        <v>15</v>
      </c>
      <c r="B7" s="7"/>
      <c r="C7" s="7"/>
      <c r="D7" s="7"/>
      <c r="E7" s="7"/>
      <c r="F7" s="7"/>
      <c r="G7" s="7"/>
      <c r="H7" s="7"/>
      <c r="I7" s="7"/>
    </row>
    <row r="8" spans="1:9" x14ac:dyDescent="0.25">
      <c r="A8" s="8" t="s">
        <v>16</v>
      </c>
      <c r="B8" s="12">
        <f>('Revenue Build'!C7-'Revenue Build'!B7)/'Revenue Build'!B7</f>
        <v>0.22563025210084042</v>
      </c>
      <c r="C8" s="12">
        <f>('Revenue Build'!D7-'Revenue Build'!C7)/'Revenue Build'!C7</f>
        <v>0.10075039043156972</v>
      </c>
      <c r="D8" s="12">
        <f>('Revenue Build'!E7-'Revenue Build'!D7)/'Revenue Build'!D7</f>
        <v>0.15402449996539549</v>
      </c>
      <c r="E8" s="13">
        <v>0.12</v>
      </c>
      <c r="F8" s="13">
        <v>0.12</v>
      </c>
      <c r="G8" s="13">
        <v>0.11</v>
      </c>
      <c r="H8" s="13">
        <v>0.1</v>
      </c>
      <c r="I8" s="13">
        <v>0.09</v>
      </c>
    </row>
    <row r="9" spans="1:9" x14ac:dyDescent="0.25">
      <c r="A9" s="8" t="s">
        <v>17</v>
      </c>
      <c r="B9" s="12">
        <f>('Revenue Build'!C8-'Revenue Build'!B8)/'Revenue Build'!B8</f>
        <v>0.29851523834331867</v>
      </c>
      <c r="C9" s="12">
        <f>('Revenue Build'!D8-'Revenue Build'!C8)/'Revenue Build'!C8</f>
        <v>0.14663991975927787</v>
      </c>
      <c r="D9" s="12">
        <f>('Revenue Build'!E8-'Revenue Build'!D8)/'Revenue Build'!D8</f>
        <v>0.16086424072778155</v>
      </c>
      <c r="E9" s="13">
        <v>0.16</v>
      </c>
      <c r="F9" s="13">
        <v>0.16</v>
      </c>
      <c r="G9" s="13">
        <v>0.15</v>
      </c>
      <c r="H9" s="13">
        <v>0.13</v>
      </c>
      <c r="I9" s="13">
        <v>0.11</v>
      </c>
    </row>
    <row r="10" spans="1:9" x14ac:dyDescent="0.25">
      <c r="A10" s="8" t="s">
        <v>18</v>
      </c>
      <c r="B10" s="12">
        <f>'Revenue Build'!C7/'Revenue Build'!C$9</f>
        <v>0.72476051127736518</v>
      </c>
      <c r="C10" s="12">
        <f>'Revenue Build'!D7/'Revenue Build'!D$9</f>
        <v>0.71653855690552948</v>
      </c>
      <c r="D10" s="12">
        <f>'Revenue Build'!E7/'Revenue Build'!E$9</f>
        <v>0.71533676533676538</v>
      </c>
      <c r="E10" s="12">
        <f>'Revenue Build'!F7/'Revenue Build'!F$9</f>
        <v>0.70813745467837486</v>
      </c>
      <c r="F10" s="12">
        <f>'Revenue Build'!G7/'Revenue Build'!G$9</f>
        <v>0.7008322163035976</v>
      </c>
      <c r="G10" s="12">
        <f>'Revenue Build'!H7/'Revenue Build'!H$9</f>
        <v>0.69335725581594798</v>
      </c>
      <c r="H10" s="12">
        <f>'Revenue Build'!I7/'Revenue Build'!I$9</f>
        <v>0.68760681110295918</v>
      </c>
      <c r="I10" s="12">
        <f>'Revenue Build'!J7/'Revenue Build'!J$9</f>
        <v>0.68368792210850293</v>
      </c>
    </row>
    <row r="11" spans="1:9" x14ac:dyDescent="0.25">
      <c r="A11" s="8" t="s">
        <v>19</v>
      </c>
      <c r="B11" s="12">
        <f>'Revenue Build'!C8/'Revenue Build'!C$9</f>
        <v>0.27523948872263476</v>
      </c>
      <c r="C11" s="12">
        <f>'Revenue Build'!D8/'Revenue Build'!D$9</f>
        <v>0.28346144309447063</v>
      </c>
      <c r="D11" s="12">
        <f>'Revenue Build'!E8/'Revenue Build'!E$9</f>
        <v>0.28466323466323462</v>
      </c>
      <c r="E11" s="12">
        <f>'Revenue Build'!F8/'Revenue Build'!F$9</f>
        <v>0.29186254532162514</v>
      </c>
      <c r="F11" s="12">
        <f>'Revenue Build'!G8/'Revenue Build'!G$9</f>
        <v>0.2991677836964024</v>
      </c>
      <c r="G11" s="12">
        <f>'Revenue Build'!H8/'Revenue Build'!H$9</f>
        <v>0.30664274418405196</v>
      </c>
      <c r="H11" s="12">
        <f>'Revenue Build'!I8/'Revenue Build'!I$9</f>
        <v>0.31239318889704076</v>
      </c>
      <c r="I11" s="12">
        <f>'Revenue Build'!J8/'Revenue Build'!J$9</f>
        <v>0.31631207789149701</v>
      </c>
    </row>
    <row r="13" spans="1:9" ht="13" x14ac:dyDescent="0.3">
      <c r="A13" s="6" t="s">
        <v>20</v>
      </c>
      <c r="B13" s="7"/>
      <c r="C13" s="7"/>
      <c r="D13" s="7"/>
      <c r="E13" s="7"/>
      <c r="F13" s="7"/>
      <c r="G13" s="7"/>
      <c r="H13" s="7"/>
      <c r="I13" s="7"/>
    </row>
    <row r="14" spans="1:9" x14ac:dyDescent="0.25">
      <c r="A14" s="8" t="s">
        <v>21</v>
      </c>
      <c r="B14" s="11">
        <f>('Opex &amp; EBITDA'!B9)/('Opex &amp; EBITDA'!B7)</f>
        <v>0.63189133975650824</v>
      </c>
      <c r="C14" s="11">
        <f>('Opex &amp; EBITDA'!C9)/('Opex &amp; EBITDA'!C7)</f>
        <v>0.60456236052566326</v>
      </c>
      <c r="D14" s="11">
        <f>('Opex &amp; EBITDA'!D9)/('Opex &amp; EBITDA'!D7)</f>
        <v>0.60100815100815108</v>
      </c>
      <c r="E14" s="13">
        <v>0.6</v>
      </c>
      <c r="F14" s="13">
        <v>0.6</v>
      </c>
      <c r="G14" s="13">
        <v>0.59799999999999998</v>
      </c>
      <c r="H14" s="13">
        <v>0.59799999999999998</v>
      </c>
      <c r="I14" s="13">
        <v>0.59699999999999998</v>
      </c>
    </row>
    <row r="15" spans="1:9" x14ac:dyDescent="0.25">
      <c r="A15" s="8" t="s">
        <v>22</v>
      </c>
      <c r="B15" s="11">
        <f>'Opex &amp; EBITDA'!B10/'Opex &amp; EBITDA'!B7</f>
        <v>0.13963503851144299</v>
      </c>
      <c r="C15" s="11">
        <f>'Opex &amp; EBITDA'!C10/'Opex &amp; EBITDA'!C7</f>
        <v>0.13696999752045624</v>
      </c>
      <c r="D15" s="11">
        <f>'Opex &amp; EBITDA'!D10/'Opex &amp; EBITDA'!D7</f>
        <v>0.12850707850707851</v>
      </c>
      <c r="E15" s="13">
        <v>0.125</v>
      </c>
      <c r="F15" s="13">
        <v>0.12</v>
      </c>
      <c r="G15" s="13">
        <v>0.115</v>
      </c>
      <c r="H15" s="13">
        <v>0.11</v>
      </c>
      <c r="I15" s="13">
        <v>0.105</v>
      </c>
    </row>
    <row r="16" spans="1:9" x14ac:dyDescent="0.25">
      <c r="A16" s="8" t="s">
        <v>23</v>
      </c>
      <c r="B16" s="11">
        <f>'Opex &amp; EBITDA'!B11/'Opex &amp; EBITDA'!B7</f>
        <v>0.32725064185738345</v>
      </c>
      <c r="C16" s="11">
        <f>'Opex &amp; EBITDA'!C11/'Opex &amp; EBITDA'!C7</f>
        <v>0.31881973716836098</v>
      </c>
      <c r="D16" s="11">
        <f>'Opex &amp; EBITDA'!D11/'Opex &amp; EBITDA'!D7</f>
        <v>0.27691977691977693</v>
      </c>
      <c r="E16" s="13">
        <v>0.26500000000000001</v>
      </c>
      <c r="F16" s="13">
        <v>0.255</v>
      </c>
      <c r="G16" s="13">
        <v>0.245</v>
      </c>
      <c r="H16" s="13">
        <v>0.23499999999999999</v>
      </c>
      <c r="I16" s="13">
        <v>0.22500000000000001</v>
      </c>
    </row>
    <row r="18" spans="1:9" ht="13" x14ac:dyDescent="0.3">
      <c r="A18" s="6" t="s">
        <v>24</v>
      </c>
      <c r="B18" s="7"/>
      <c r="C18" s="7"/>
      <c r="D18" s="7"/>
      <c r="E18" s="7"/>
      <c r="F18" s="7"/>
      <c r="G18" s="7"/>
      <c r="H18" s="7"/>
      <c r="I18" s="7"/>
    </row>
    <row r="19" spans="1:9" x14ac:dyDescent="0.25">
      <c r="A19" s="8" t="s">
        <v>25</v>
      </c>
      <c r="B19" s="11">
        <f>'Capex &amp; DA'!B8/'Capex &amp; DA'!B7</f>
        <v>6.5317615879413621E-2</v>
      </c>
      <c r="C19" s="11">
        <f>'Capex &amp; DA'!C8/'Capex &amp; DA'!C7</f>
        <v>8.8966030250433925E-2</v>
      </c>
      <c r="D19" s="11">
        <f>'Capex &amp; DA'!D8/'Capex &amp; DA'!D7</f>
        <v>7.7970827970827966E-2</v>
      </c>
      <c r="E19" s="13">
        <v>7.4999999999999997E-2</v>
      </c>
      <c r="F19" s="13">
        <v>7.2999999999999995E-2</v>
      </c>
      <c r="G19" s="13">
        <v>7.0000000000000007E-2</v>
      </c>
      <c r="H19" s="13">
        <v>6.8000000000000005E-2</v>
      </c>
      <c r="I19" s="13">
        <v>6.5000000000000002E-2</v>
      </c>
    </row>
    <row r="20" spans="1:9" x14ac:dyDescent="0.25">
      <c r="A20" s="8" t="s">
        <v>26</v>
      </c>
      <c r="B20" s="11">
        <f>'Capex &amp; DA'!B11/'Capex &amp; DA'!B7</f>
        <v>5.134859067443337E-2</v>
      </c>
      <c r="C20" s="11">
        <f>'Capex &amp; DA'!C11/'Capex &amp; DA'!C7</f>
        <v>5.3979667741135627E-2</v>
      </c>
      <c r="D20" s="11">
        <f>'Capex &amp; DA'!D11/'Capex &amp; DA'!D7</f>
        <v>5.4011154011154014E-2</v>
      </c>
      <c r="E20" s="13">
        <v>5.3999999999999999E-2</v>
      </c>
      <c r="F20" s="13">
        <v>5.5E-2</v>
      </c>
      <c r="G20" s="13">
        <v>5.5E-2</v>
      </c>
      <c r="H20" s="13">
        <v>5.6000000000000001E-2</v>
      </c>
      <c r="I20" s="13">
        <v>5.6000000000000001E-2</v>
      </c>
    </row>
    <row r="22" spans="1:9" ht="13" x14ac:dyDescent="0.3">
      <c r="A22" s="6" t="s">
        <v>27</v>
      </c>
      <c r="B22" s="7"/>
      <c r="C22" s="7"/>
      <c r="D22" s="7"/>
      <c r="E22" s="7"/>
      <c r="F22" s="7"/>
      <c r="G22" s="7"/>
      <c r="H22" s="7"/>
      <c r="I22" s="7"/>
    </row>
    <row r="23" spans="1:9" x14ac:dyDescent="0.25">
      <c r="A23" s="8" t="s">
        <v>28</v>
      </c>
      <c r="B23" s="8">
        <f>'Working Capital'!B9/'Working Capital'!B8*365</f>
        <v>153.1828408579571</v>
      </c>
      <c r="C23" s="8">
        <f>'Working Capital'!C9/'Working Capital'!C8*365</f>
        <v>124.18422372711312</v>
      </c>
      <c r="D23" s="8">
        <f>'Working Capital'!D9/'Working Capital'!D8*365</f>
        <v>123.44578248481265</v>
      </c>
      <c r="E23" s="14">
        <v>122</v>
      </c>
      <c r="F23" s="14">
        <v>120</v>
      </c>
      <c r="G23" s="14">
        <v>118</v>
      </c>
      <c r="H23" s="14">
        <v>117</v>
      </c>
      <c r="I23" s="14">
        <v>116</v>
      </c>
    </row>
    <row r="24" spans="1:9" x14ac:dyDescent="0.25">
      <c r="A24" s="8" t="s">
        <v>29</v>
      </c>
      <c r="B24" s="8">
        <f>'Working Capital'!B10/'Working Capital'!B7*365</f>
        <v>98.13474864036661</v>
      </c>
      <c r="C24" s="8">
        <f>'Working Capital'!C10/'Working Capital'!C7*365</f>
        <v>91.019216464170597</v>
      </c>
      <c r="D24" s="8">
        <f>'Working Capital'!D10/'Working Capital'!D7*365</f>
        <v>95.211604461604452</v>
      </c>
      <c r="E24" s="8">
        <v>94</v>
      </c>
      <c r="F24" s="8">
        <v>93</v>
      </c>
      <c r="G24" s="8">
        <v>92</v>
      </c>
      <c r="H24" s="8">
        <v>92</v>
      </c>
      <c r="I24" s="8">
        <v>91</v>
      </c>
    </row>
    <row r="25" spans="1:9" x14ac:dyDescent="0.25">
      <c r="A25" s="8" t="s">
        <v>30</v>
      </c>
      <c r="B25" s="8">
        <f>'Working Capital'!B11/'Working Capital'!B8*365</f>
        <v>368.31220938953049</v>
      </c>
      <c r="C25" s="8">
        <f>'Working Capital'!C11/'Working Capital'!C8*365</f>
        <v>362.77997241033358</v>
      </c>
      <c r="D25" s="8">
        <f>'Working Capital'!D11/'Working Capital'!D8*365</f>
        <v>381.46336218482878</v>
      </c>
      <c r="E25" s="8">
        <v>385</v>
      </c>
      <c r="F25" s="8">
        <v>388</v>
      </c>
      <c r="G25" s="8">
        <v>390</v>
      </c>
      <c r="H25" s="8">
        <v>390</v>
      </c>
      <c r="I25" s="8">
        <v>390</v>
      </c>
    </row>
    <row r="27" spans="1:9" ht="13" x14ac:dyDescent="0.3">
      <c r="A27" s="6" t="s">
        <v>31</v>
      </c>
      <c r="B27" s="7"/>
      <c r="C27" s="7"/>
      <c r="D27" s="7"/>
      <c r="E27" s="7"/>
      <c r="F27" s="7"/>
      <c r="G27" s="7"/>
      <c r="H27" s="7"/>
      <c r="I27" s="7"/>
    </row>
    <row r="28" spans="1:9" x14ac:dyDescent="0.25">
      <c r="A28" s="8" t="s">
        <v>32</v>
      </c>
      <c r="B28" s="11">
        <v>0.2316</v>
      </c>
      <c r="C28" s="11">
        <v>0.18729999999999999</v>
      </c>
      <c r="D28" s="11">
        <v>0.23769999999999999</v>
      </c>
      <c r="E28" s="13">
        <v>0.24</v>
      </c>
      <c r="F28" s="13">
        <v>0.24</v>
      </c>
      <c r="G28" s="13">
        <v>0.24</v>
      </c>
      <c r="H28" s="13">
        <v>0.24</v>
      </c>
      <c r="I28" s="13">
        <v>0.24</v>
      </c>
    </row>
    <row r="30" spans="1:9" ht="13" x14ac:dyDescent="0.3">
      <c r="A30" s="6" t="s">
        <v>33</v>
      </c>
      <c r="B30" s="7"/>
      <c r="C30" s="7"/>
      <c r="D30" s="7"/>
      <c r="E30" s="7"/>
      <c r="F30" s="7"/>
      <c r="G30" s="7"/>
      <c r="H30" s="7"/>
      <c r="I30" s="7"/>
    </row>
    <row r="31" spans="1:9" x14ac:dyDescent="0.25">
      <c r="A31" s="8" t="s">
        <v>34</v>
      </c>
      <c r="B31" s="17">
        <v>4.6800000000000001E-2</v>
      </c>
    </row>
    <row r="32" spans="1:9" x14ac:dyDescent="0.25">
      <c r="A32" s="8" t="s">
        <v>35</v>
      </c>
      <c r="B32" s="17">
        <v>4.4499999999999998E-2</v>
      </c>
    </row>
    <row r="33" spans="1:9" x14ac:dyDescent="0.25">
      <c r="A33" s="8" t="s">
        <v>36</v>
      </c>
      <c r="B33" s="18">
        <v>1.45</v>
      </c>
    </row>
    <row r="34" spans="1:9" x14ac:dyDescent="0.25">
      <c r="A34" s="8" t="s">
        <v>37</v>
      </c>
      <c r="B34" s="15">
        <f>B31+B33*B32</f>
        <v>0.11132500000000001</v>
      </c>
    </row>
    <row r="35" spans="1:9" x14ac:dyDescent="0.25">
      <c r="A35" s="8" t="s">
        <v>38</v>
      </c>
      <c r="B35" s="17">
        <v>5.7500000000000002E-2</v>
      </c>
    </row>
    <row r="36" spans="1:9" x14ac:dyDescent="0.25">
      <c r="A36" s="8" t="s">
        <v>39</v>
      </c>
      <c r="B36" s="17">
        <v>0.24</v>
      </c>
    </row>
    <row r="37" spans="1:9" x14ac:dyDescent="0.25">
      <c r="A37" s="8" t="s">
        <v>40</v>
      </c>
      <c r="B37" s="15">
        <f>B35*(1-B36)</f>
        <v>4.3700000000000003E-2</v>
      </c>
    </row>
    <row r="38" spans="1:9" x14ac:dyDescent="0.25">
      <c r="A38" s="8" t="s">
        <v>41</v>
      </c>
      <c r="B38" s="17">
        <v>0.125</v>
      </c>
    </row>
    <row r="39" spans="1:9" x14ac:dyDescent="0.25">
      <c r="A39" s="8" t="s">
        <v>42</v>
      </c>
      <c r="B39" s="16">
        <f>1-B38</f>
        <v>0.875</v>
      </c>
    </row>
    <row r="40" spans="1:9" x14ac:dyDescent="0.25">
      <c r="A40" s="8" t="s">
        <v>43</v>
      </c>
      <c r="B40" s="19">
        <f>B39*B34+B38*B37</f>
        <v>0.102871875</v>
      </c>
    </row>
    <row r="42" spans="1:9" ht="13" x14ac:dyDescent="0.3">
      <c r="A42" s="6" t="s">
        <v>44</v>
      </c>
      <c r="B42" s="34"/>
      <c r="C42" s="34"/>
      <c r="D42" s="34"/>
      <c r="E42" s="34"/>
      <c r="F42" s="34"/>
      <c r="G42" s="34"/>
      <c r="H42" s="34"/>
      <c r="I42" s="34"/>
    </row>
    <row r="43" spans="1:9" x14ac:dyDescent="0.25">
      <c r="A43" s="9" t="s">
        <v>45</v>
      </c>
      <c r="B43" s="35">
        <v>2.5000000000000001E-2</v>
      </c>
      <c r="C43" s="2"/>
      <c r="D43" s="2"/>
      <c r="E43" s="2"/>
      <c r="F43" s="2"/>
      <c r="G43" s="2"/>
      <c r="H43" s="2"/>
      <c r="I43" s="2"/>
    </row>
    <row r="44" spans="1:9" x14ac:dyDescent="0.25">
      <c r="A44" s="9" t="s">
        <v>46</v>
      </c>
      <c r="B44" s="29">
        <v>16.5</v>
      </c>
      <c r="C44" s="2"/>
      <c r="D44" s="2"/>
      <c r="E44" s="2"/>
      <c r="F44" s="2"/>
      <c r="G44" s="2"/>
      <c r="H44" s="2"/>
      <c r="I44" s="2"/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"/>
  <sheetViews>
    <sheetView showGridLines="0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5" sqref="A5:J5"/>
    </sheetView>
  </sheetViews>
  <sheetFormatPr defaultColWidth="8.7265625" defaultRowHeight="12.5" x14ac:dyDescent="0.25"/>
  <cols>
    <col min="1" max="1" width="48" customWidth="1"/>
    <col min="2" max="10" width="12" customWidth="1"/>
  </cols>
  <sheetData>
    <row r="1" spans="1:10" ht="18" x14ac:dyDescent="0.4">
      <c r="A1" s="1" t="s">
        <v>3</v>
      </c>
    </row>
    <row r="2" spans="1:10" ht="14.5" x14ac:dyDescent="0.35">
      <c r="A2" s="4" t="s">
        <v>47</v>
      </c>
    </row>
    <row r="3" spans="1:10" ht="13" x14ac:dyDescent="0.3">
      <c r="A3" s="5" t="s">
        <v>5</v>
      </c>
    </row>
    <row r="5" spans="1:10" ht="18" customHeight="1" x14ac:dyDescent="0.3">
      <c r="A5" s="64" t="s">
        <v>6</v>
      </c>
      <c r="B5" s="67" t="s">
        <v>105</v>
      </c>
      <c r="C5" s="60" t="s">
        <v>7</v>
      </c>
      <c r="D5" s="60" t="s">
        <v>8</v>
      </c>
      <c r="E5" s="60" t="s">
        <v>9</v>
      </c>
      <c r="F5" s="60" t="s">
        <v>10</v>
      </c>
      <c r="G5" s="60" t="s">
        <v>11</v>
      </c>
      <c r="H5" s="60" t="s">
        <v>12</v>
      </c>
      <c r="I5" s="60" t="s">
        <v>13</v>
      </c>
      <c r="J5" s="60" t="s">
        <v>14</v>
      </c>
    </row>
    <row r="6" spans="1:10" x14ac:dyDescent="0.25">
      <c r="E6" s="10"/>
    </row>
    <row r="7" spans="1:10" x14ac:dyDescent="0.25">
      <c r="A7" s="27" t="s">
        <v>48</v>
      </c>
      <c r="B7" s="29">
        <v>2142</v>
      </c>
      <c r="C7" s="31">
        <v>2625.3</v>
      </c>
      <c r="D7" s="31">
        <v>2889.8</v>
      </c>
      <c r="E7" s="31">
        <v>3334.9</v>
      </c>
      <c r="F7" s="27">
        <f>E7*(1+Assumptions!E8)</f>
        <v>3735.0880000000006</v>
      </c>
      <c r="G7" s="27">
        <f>F7*(1+Assumptions!F8)</f>
        <v>4183.2985600000011</v>
      </c>
      <c r="H7" s="27">
        <f>G7*(1+Assumptions!G8)</f>
        <v>4643.4614016000014</v>
      </c>
      <c r="I7" s="27">
        <f>H7*(1+Assumptions!H8)</f>
        <v>5107.8075417600021</v>
      </c>
      <c r="J7" s="27">
        <f>I7*(1+Assumptions!I8)</f>
        <v>5567.510220518403</v>
      </c>
    </row>
    <row r="8" spans="1:10" x14ac:dyDescent="0.25">
      <c r="A8" s="27" t="s">
        <v>49</v>
      </c>
      <c r="B8" s="29">
        <v>767.8</v>
      </c>
      <c r="C8" s="31">
        <v>997</v>
      </c>
      <c r="D8" s="31">
        <v>1143.2</v>
      </c>
      <c r="E8" s="31">
        <v>1327.1</v>
      </c>
      <c r="F8" s="27">
        <f>E8*(1+Assumptions!E9)</f>
        <v>1539.4359999999997</v>
      </c>
      <c r="G8" s="27">
        <f>F8*(1+Assumptions!F9)</f>
        <v>1785.7457599999996</v>
      </c>
      <c r="H8" s="27">
        <f>G8*(1+Assumptions!G9)</f>
        <v>2053.6076239999993</v>
      </c>
      <c r="I8" s="27">
        <f>H8*(1+Assumptions!H9)</f>
        <v>2320.5766151199991</v>
      </c>
      <c r="J8" s="27">
        <f>I8*(1+Assumptions!I9)</f>
        <v>2575.8400427831994</v>
      </c>
    </row>
    <row r="9" spans="1:10" x14ac:dyDescent="0.25">
      <c r="A9" s="27" t="s">
        <v>50</v>
      </c>
      <c r="B9" s="29">
        <v>2909.8</v>
      </c>
      <c r="C9" s="31">
        <v>3622.3</v>
      </c>
      <c r="D9" s="31">
        <v>4033</v>
      </c>
      <c r="E9" s="31">
        <v>4662</v>
      </c>
      <c r="F9" s="27">
        <f>SUM(F7:F8)</f>
        <v>5274.5240000000003</v>
      </c>
      <c r="G9" s="27">
        <f t="shared" ref="G9:J9" si="0">SUM(G7:G8)</f>
        <v>5969.0443200000009</v>
      </c>
      <c r="H9" s="27">
        <f t="shared" si="0"/>
        <v>6697.0690256000007</v>
      </c>
      <c r="I9" s="27">
        <f t="shared" si="0"/>
        <v>7428.3841568800017</v>
      </c>
      <c r="J9" s="27">
        <f t="shared" si="0"/>
        <v>8143.3502633016024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"/>
  <sheetViews>
    <sheetView showGridLines="0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5" sqref="A5:I5"/>
    </sheetView>
  </sheetViews>
  <sheetFormatPr defaultColWidth="8.7265625" defaultRowHeight="12.5" x14ac:dyDescent="0.25"/>
  <cols>
    <col min="1" max="1" width="48" customWidth="1"/>
    <col min="2" max="9" width="12" customWidth="1"/>
  </cols>
  <sheetData>
    <row r="1" spans="1:9" ht="18" x14ac:dyDescent="0.4">
      <c r="A1" s="1" t="s">
        <v>3</v>
      </c>
    </row>
    <row r="2" spans="1:9" ht="14.5" x14ac:dyDescent="0.35">
      <c r="A2" s="4" t="s">
        <v>51</v>
      </c>
    </row>
    <row r="3" spans="1:9" ht="13" x14ac:dyDescent="0.3">
      <c r="A3" s="5" t="s">
        <v>5</v>
      </c>
    </row>
    <row r="5" spans="1:9" ht="18" customHeight="1" x14ac:dyDescent="0.3">
      <c r="A5" s="64" t="s">
        <v>6</v>
      </c>
      <c r="B5" s="60" t="s">
        <v>7</v>
      </c>
      <c r="C5" s="60" t="s">
        <v>8</v>
      </c>
      <c r="D5" s="60" t="s">
        <v>9</v>
      </c>
      <c r="E5" s="60" t="s">
        <v>10</v>
      </c>
      <c r="F5" s="60" t="s">
        <v>11</v>
      </c>
      <c r="G5" s="60" t="s">
        <v>12</v>
      </c>
      <c r="H5" s="60" t="s">
        <v>13</v>
      </c>
      <c r="I5" s="60" t="s">
        <v>14</v>
      </c>
    </row>
    <row r="7" spans="1:9" x14ac:dyDescent="0.25">
      <c r="A7" s="27" t="s">
        <v>52</v>
      </c>
      <c r="B7" s="28">
        <f>'Revenue Build'!C9</f>
        <v>3622.3</v>
      </c>
      <c r="C7" s="28">
        <f>'Revenue Build'!D9</f>
        <v>4033</v>
      </c>
      <c r="D7" s="28">
        <f>'Revenue Build'!E9</f>
        <v>4662</v>
      </c>
      <c r="E7" s="28">
        <f>'Revenue Build'!F9</f>
        <v>5274.5240000000003</v>
      </c>
      <c r="F7" s="28">
        <f>'Revenue Build'!G9</f>
        <v>5969.0443200000009</v>
      </c>
      <c r="G7" s="28">
        <f>'Revenue Build'!H9</f>
        <v>6697.0690256000007</v>
      </c>
      <c r="H7" s="28">
        <f>'Revenue Build'!I9</f>
        <v>7428.3841568800017</v>
      </c>
      <c r="I7" s="28">
        <f>'Revenue Build'!J9</f>
        <v>8143.3502633016024</v>
      </c>
    </row>
    <row r="8" spans="1:9" x14ac:dyDescent="0.25">
      <c r="A8" s="27" t="s">
        <v>53</v>
      </c>
      <c r="B8" s="29">
        <v>1333.4</v>
      </c>
      <c r="C8" s="29">
        <v>1594.8</v>
      </c>
      <c r="D8" s="29">
        <v>1860.1</v>
      </c>
      <c r="E8" s="30">
        <f>E7*(1-Assumptions!E14)</f>
        <v>2109.8096</v>
      </c>
      <c r="F8" s="30">
        <f>F7*(1-Assumptions!F14)</f>
        <v>2387.6177280000006</v>
      </c>
      <c r="G8" s="30">
        <f>G7*(1-Assumptions!G14)</f>
        <v>2692.2217482912006</v>
      </c>
      <c r="H8" s="30">
        <f>H7*(1-Assumptions!H14)</f>
        <v>2986.210431065761</v>
      </c>
      <c r="I8" s="30">
        <f>I7*(1-Assumptions!I14)</f>
        <v>3281.7701561105459</v>
      </c>
    </row>
    <row r="9" spans="1:9" x14ac:dyDescent="0.25">
      <c r="A9" s="27" t="s">
        <v>54</v>
      </c>
      <c r="B9" s="28">
        <f>B7-B8</f>
        <v>2288.9</v>
      </c>
      <c r="C9" s="28">
        <f t="shared" ref="C9:D9" si="0">C7-C8</f>
        <v>2438.1999999999998</v>
      </c>
      <c r="D9" s="28">
        <f t="shared" si="0"/>
        <v>2801.9</v>
      </c>
      <c r="E9" s="28">
        <f t="shared" ref="E9" si="1">E7-E8</f>
        <v>3164.7144000000003</v>
      </c>
      <c r="F9" s="28">
        <f t="shared" ref="F9" si="2">F7-F8</f>
        <v>3581.4265920000003</v>
      </c>
      <c r="G9" s="28">
        <f t="shared" ref="G9" si="3">G7-G8</f>
        <v>4004.8472773088001</v>
      </c>
      <c r="H9" s="28">
        <f t="shared" ref="H9" si="4">H7-H8</f>
        <v>4442.1737258142402</v>
      </c>
      <c r="I9" s="28">
        <f t="shared" ref="I9" si="5">I7-I8</f>
        <v>4861.5801071910564</v>
      </c>
    </row>
    <row r="10" spans="1:9" x14ac:dyDescent="0.25">
      <c r="A10" s="27" t="s">
        <v>55</v>
      </c>
      <c r="B10" s="29">
        <v>505.8</v>
      </c>
      <c r="C10" s="29">
        <v>552.4</v>
      </c>
      <c r="D10" s="29">
        <v>599.1</v>
      </c>
      <c r="E10" s="30">
        <f>E7*Assumptions!E15</f>
        <v>659.31550000000004</v>
      </c>
      <c r="F10" s="30">
        <f>F7*Assumptions!F15</f>
        <v>716.28531840000005</v>
      </c>
      <c r="G10" s="30">
        <f>G7*Assumptions!G15</f>
        <v>770.16293794400008</v>
      </c>
      <c r="H10" s="30">
        <f>H7*Assumptions!H15</f>
        <v>817.12225725680014</v>
      </c>
      <c r="I10" s="30">
        <f>I7*Assumptions!I15</f>
        <v>855.05177764666826</v>
      </c>
    </row>
    <row r="11" spans="1:9" x14ac:dyDescent="0.25">
      <c r="A11" s="27" t="s">
        <v>56</v>
      </c>
      <c r="B11" s="29">
        <v>1185.4000000000001</v>
      </c>
      <c r="C11" s="29">
        <v>1285.8</v>
      </c>
      <c r="D11" s="29">
        <v>1291</v>
      </c>
      <c r="E11" s="30">
        <f>E7*Assumptions!E16</f>
        <v>1397.7488600000001</v>
      </c>
      <c r="F11" s="30">
        <f>F7*Assumptions!F16</f>
        <v>1522.1063016000003</v>
      </c>
      <c r="G11" s="30">
        <f>G7*Assumptions!G16</f>
        <v>1640.7819112720001</v>
      </c>
      <c r="H11" s="30">
        <f>H7*Assumptions!H16</f>
        <v>1745.6702768668004</v>
      </c>
      <c r="I11" s="30">
        <f>I7*Assumptions!I16</f>
        <v>1832.2538092428606</v>
      </c>
    </row>
    <row r="12" spans="1:9" x14ac:dyDescent="0.25">
      <c r="A12" s="30" t="s">
        <v>59</v>
      </c>
      <c r="B12" s="30">
        <f>B9-B10-B11</f>
        <v>597.70000000000005</v>
      </c>
      <c r="C12" s="30">
        <f t="shared" ref="C12:I12" si="6">C9-C10-C11</f>
        <v>599.99999999999977</v>
      </c>
      <c r="D12" s="30">
        <f t="shared" si="6"/>
        <v>911.80000000000018</v>
      </c>
      <c r="E12" s="30">
        <f t="shared" si="6"/>
        <v>1107.65004</v>
      </c>
      <c r="F12" s="30">
        <f t="shared" si="6"/>
        <v>1343.0349719999999</v>
      </c>
      <c r="G12" s="30">
        <f t="shared" si="6"/>
        <v>1593.9024280927999</v>
      </c>
      <c r="H12" s="30">
        <f t="shared" si="6"/>
        <v>1879.3811916906395</v>
      </c>
      <c r="I12" s="30">
        <f t="shared" si="6"/>
        <v>2174.2745203015274</v>
      </c>
    </row>
    <row r="13" spans="1:9" x14ac:dyDescent="0.25">
      <c r="A13" s="27" t="s">
        <v>58</v>
      </c>
      <c r="B13" s="30">
        <f>'Capex &amp; DA'!B11</f>
        <v>186</v>
      </c>
      <c r="C13" s="30">
        <f>'Capex &amp; DA'!C11</f>
        <v>217.7</v>
      </c>
      <c r="D13" s="30">
        <f>'Capex &amp; DA'!D11</f>
        <v>251.8</v>
      </c>
      <c r="E13" s="30">
        <f>'Capex &amp; DA'!E11</f>
        <v>284.824296</v>
      </c>
      <c r="F13" s="30">
        <f>'Capex &amp; DA'!F11</f>
        <v>328.29743760000002</v>
      </c>
      <c r="G13" s="30">
        <f>'Capex &amp; DA'!G11</f>
        <v>368.33879640800006</v>
      </c>
      <c r="H13" s="30">
        <f>'Capex &amp; DA'!H11</f>
        <v>415.98951278528011</v>
      </c>
      <c r="I13" s="30">
        <f>'Capex &amp; DA'!I11</f>
        <v>456.02761474488972</v>
      </c>
    </row>
    <row r="14" spans="1:9" x14ac:dyDescent="0.25">
      <c r="A14" s="30" t="s">
        <v>57</v>
      </c>
      <c r="B14" s="30">
        <f>B12+B13</f>
        <v>783.7</v>
      </c>
      <c r="C14" s="30">
        <f t="shared" ref="C14:I14" si="7">C12+C13</f>
        <v>817.69999999999982</v>
      </c>
      <c r="D14" s="30">
        <f t="shared" si="7"/>
        <v>1163.6000000000001</v>
      </c>
      <c r="E14" s="30">
        <f t="shared" si="7"/>
        <v>1392.474336</v>
      </c>
      <c r="F14" s="30">
        <f t="shared" si="7"/>
        <v>1671.3324095999999</v>
      </c>
      <c r="G14" s="30">
        <f t="shared" si="7"/>
        <v>1962.2412245007999</v>
      </c>
      <c r="H14" s="30">
        <f t="shared" si="7"/>
        <v>2295.3707044759194</v>
      </c>
      <c r="I14" s="30">
        <f t="shared" si="7"/>
        <v>2630.3021350464173</v>
      </c>
    </row>
    <row r="16" spans="1:9" x14ac:dyDescent="0.25">
      <c r="F16" s="23"/>
    </row>
    <row r="17" spans="5:5" x14ac:dyDescent="0.25">
      <c r="E17" s="23"/>
    </row>
    <row r="53" spans="3:3" x14ac:dyDescent="0.25">
      <c r="C53" s="2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3"/>
  <sheetViews>
    <sheetView showGridLines="0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ColWidth="8.7265625" defaultRowHeight="12.5" x14ac:dyDescent="0.25"/>
  <cols>
    <col min="1" max="1" width="48" customWidth="1"/>
    <col min="2" max="9" width="12" customWidth="1"/>
  </cols>
  <sheetData>
    <row r="1" spans="1:9" ht="18" x14ac:dyDescent="0.4">
      <c r="A1" s="1" t="s">
        <v>3</v>
      </c>
    </row>
    <row r="2" spans="1:9" ht="14.5" x14ac:dyDescent="0.35">
      <c r="A2" s="4" t="s">
        <v>60</v>
      </c>
    </row>
    <row r="3" spans="1:9" ht="13" x14ac:dyDescent="0.3">
      <c r="A3" s="5" t="s">
        <v>5</v>
      </c>
    </row>
    <row r="5" spans="1:9" ht="18" customHeight="1" x14ac:dyDescent="0.3">
      <c r="A5" s="64" t="s">
        <v>6</v>
      </c>
      <c r="B5" s="60" t="s">
        <v>7</v>
      </c>
      <c r="C5" s="60" t="s">
        <v>8</v>
      </c>
      <c r="D5" s="60" t="s">
        <v>9</v>
      </c>
      <c r="E5" s="60" t="s">
        <v>10</v>
      </c>
      <c r="F5" s="60" t="s">
        <v>11</v>
      </c>
      <c r="G5" s="60" t="s">
        <v>12</v>
      </c>
      <c r="H5" s="60" t="s">
        <v>13</v>
      </c>
      <c r="I5" s="60" t="s">
        <v>14</v>
      </c>
    </row>
    <row r="7" spans="1:9" x14ac:dyDescent="0.25">
      <c r="A7" s="27" t="s">
        <v>52</v>
      </c>
      <c r="B7" s="27">
        <f>'Revenue Build'!C9</f>
        <v>3622.3</v>
      </c>
      <c r="C7" s="27">
        <f>'Revenue Build'!D9</f>
        <v>4033</v>
      </c>
      <c r="D7" s="27">
        <f>'Revenue Build'!E9</f>
        <v>4662</v>
      </c>
      <c r="E7" s="27">
        <f>'Revenue Build'!F9</f>
        <v>5274.5240000000003</v>
      </c>
      <c r="F7" s="27">
        <f>'Revenue Build'!G9</f>
        <v>5969.0443200000009</v>
      </c>
      <c r="G7" s="27">
        <f>'Revenue Build'!H9</f>
        <v>6697.0690256000007</v>
      </c>
      <c r="H7" s="27">
        <f>'Revenue Build'!I9</f>
        <v>7428.3841568800017</v>
      </c>
      <c r="I7" s="27">
        <f>'Revenue Build'!J9</f>
        <v>8143.3502633016024</v>
      </c>
    </row>
    <row r="8" spans="1:9" x14ac:dyDescent="0.25">
      <c r="A8" s="27" t="s">
        <v>61</v>
      </c>
      <c r="B8" s="29">
        <v>236.6</v>
      </c>
      <c r="C8" s="29">
        <v>358.8</v>
      </c>
      <c r="D8" s="29">
        <v>363.5</v>
      </c>
      <c r="E8" s="27">
        <f>E7*Assumptions!E19</f>
        <v>395.58930000000004</v>
      </c>
      <c r="F8" s="27">
        <f>F7*Assumptions!F19</f>
        <v>435.74023536000004</v>
      </c>
      <c r="G8" s="27">
        <f>G7*Assumptions!G19</f>
        <v>468.79483179200008</v>
      </c>
      <c r="H8" s="27">
        <f>H7*Assumptions!H19</f>
        <v>505.13012266784017</v>
      </c>
      <c r="I8" s="27">
        <f>I7*Assumptions!I19</f>
        <v>529.31776711460418</v>
      </c>
    </row>
    <row r="9" spans="1:9" x14ac:dyDescent="0.25">
      <c r="A9" s="27" t="s">
        <v>62</v>
      </c>
      <c r="B9" s="29">
        <v>1418.8</v>
      </c>
      <c r="C9" s="32">
        <f>B10</f>
        <v>1622.5</v>
      </c>
      <c r="D9" s="32">
        <f t="shared" ref="D9:I9" si="0">C10</f>
        <v>2018.2</v>
      </c>
      <c r="E9" s="32">
        <f t="shared" si="0"/>
        <v>2418.6999999999998</v>
      </c>
      <c r="F9" s="32">
        <f t="shared" si="0"/>
        <v>2814.2892999999999</v>
      </c>
      <c r="G9" s="32">
        <f t="shared" si="0"/>
        <v>3250.02953536</v>
      </c>
      <c r="H9" s="32">
        <f t="shared" si="0"/>
        <v>3718.8243671519999</v>
      </c>
      <c r="I9" s="32">
        <f t="shared" si="0"/>
        <v>4223.9544898198401</v>
      </c>
    </row>
    <row r="10" spans="1:9" x14ac:dyDescent="0.25">
      <c r="A10" s="27" t="s">
        <v>63</v>
      </c>
      <c r="B10" s="29">
        <v>1622.5</v>
      </c>
      <c r="C10" s="29">
        <v>2018.2</v>
      </c>
      <c r="D10" s="29">
        <v>2418.6999999999998</v>
      </c>
      <c r="E10" s="32">
        <f>E9+E8</f>
        <v>2814.2892999999999</v>
      </c>
      <c r="F10" s="32">
        <f t="shared" ref="F10:I10" si="1">F9+F8</f>
        <v>3250.02953536</v>
      </c>
      <c r="G10" s="32">
        <f t="shared" si="1"/>
        <v>3718.8243671519999</v>
      </c>
      <c r="H10" s="32">
        <f t="shared" si="1"/>
        <v>4223.9544898198401</v>
      </c>
      <c r="I10" s="32">
        <f t="shared" si="1"/>
        <v>4753.2722569344442</v>
      </c>
    </row>
    <row r="11" spans="1:9" x14ac:dyDescent="0.25">
      <c r="A11" s="27" t="s">
        <v>64</v>
      </c>
      <c r="B11" s="29">
        <v>186</v>
      </c>
      <c r="C11" s="29">
        <v>217.7</v>
      </c>
      <c r="D11" s="29">
        <v>251.8</v>
      </c>
      <c r="E11" s="27">
        <f>E7*Assumptions!E20</f>
        <v>284.824296</v>
      </c>
      <c r="F11" s="27">
        <f>F7*Assumptions!F20</f>
        <v>328.29743760000002</v>
      </c>
      <c r="G11" s="27">
        <f>G7*Assumptions!G20</f>
        <v>368.33879640800006</v>
      </c>
      <c r="H11" s="27">
        <f>H7*Assumptions!H20</f>
        <v>415.98951278528011</v>
      </c>
      <c r="I11" s="27">
        <f>I7*Assumptions!I20</f>
        <v>456.02761474488972</v>
      </c>
    </row>
    <row r="12" spans="1:9" x14ac:dyDescent="0.25">
      <c r="A12" s="27" t="s">
        <v>65</v>
      </c>
      <c r="B12" s="29">
        <v>509.4</v>
      </c>
      <c r="C12" s="29">
        <v>678.3</v>
      </c>
      <c r="D12" s="29">
        <v>858.8</v>
      </c>
      <c r="E12" s="27">
        <f>D12+E11</f>
        <v>1143.624296</v>
      </c>
      <c r="F12" s="27">
        <f t="shared" ref="F12:I12" si="2">E12+F11</f>
        <v>1471.9217335999999</v>
      </c>
      <c r="G12" s="27">
        <f t="shared" si="2"/>
        <v>1840.2605300079999</v>
      </c>
      <c r="H12" s="27">
        <f t="shared" si="2"/>
        <v>2256.25004279328</v>
      </c>
      <c r="I12" s="27">
        <f t="shared" si="2"/>
        <v>2712.2776575381699</v>
      </c>
    </row>
    <row r="13" spans="1:9" x14ac:dyDescent="0.25">
      <c r="A13" s="27" t="s">
        <v>66</v>
      </c>
      <c r="B13" s="27">
        <f>B10-B12</f>
        <v>1113.0999999999999</v>
      </c>
      <c r="C13" s="27">
        <f t="shared" ref="C13:I13" si="3">C10-C12</f>
        <v>1339.9</v>
      </c>
      <c r="D13" s="27">
        <f t="shared" si="3"/>
        <v>1559.8999999999999</v>
      </c>
      <c r="E13" s="27">
        <f t="shared" si="3"/>
        <v>1670.665004</v>
      </c>
      <c r="F13" s="27">
        <f t="shared" si="3"/>
        <v>1778.10780176</v>
      </c>
      <c r="G13" s="27">
        <f t="shared" si="3"/>
        <v>1878.563837144</v>
      </c>
      <c r="H13" s="27">
        <f t="shared" si="3"/>
        <v>1967.70444702656</v>
      </c>
      <c r="I13" s="27">
        <f t="shared" si="3"/>
        <v>2040.9945993962742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3"/>
  <sheetViews>
    <sheetView showGridLines="0" zoomScaleNormal="100" workbookViewId="0">
      <pane xSplit="1" ySplit="6" topLeftCell="B10" activePane="bottomRight" state="frozen"/>
      <selection pane="topRight" activeCell="B1" sqref="B1"/>
      <selection pane="bottomLeft" activeCell="A7" sqref="A7"/>
      <selection pane="bottomRight" activeCell="A5" sqref="A5:I5"/>
    </sheetView>
  </sheetViews>
  <sheetFormatPr defaultColWidth="8.7265625" defaultRowHeight="12.5" x14ac:dyDescent="0.25"/>
  <cols>
    <col min="1" max="1" width="48" customWidth="1"/>
    <col min="2" max="9" width="12" customWidth="1"/>
  </cols>
  <sheetData>
    <row r="1" spans="1:9" ht="18" x14ac:dyDescent="0.4">
      <c r="A1" s="1" t="s">
        <v>3</v>
      </c>
    </row>
    <row r="2" spans="1:9" ht="14.5" x14ac:dyDescent="0.35">
      <c r="A2" s="4" t="s">
        <v>67</v>
      </c>
    </row>
    <row r="3" spans="1:9" ht="13" x14ac:dyDescent="0.3">
      <c r="A3" s="5" t="s">
        <v>5</v>
      </c>
    </row>
    <row r="5" spans="1:9" ht="18" customHeight="1" x14ac:dyDescent="0.3">
      <c r="A5" s="64" t="s">
        <v>6</v>
      </c>
      <c r="B5" s="60" t="s">
        <v>7</v>
      </c>
      <c r="C5" s="60" t="s">
        <v>8</v>
      </c>
      <c r="D5" s="60" t="s">
        <v>9</v>
      </c>
      <c r="E5" s="60" t="s">
        <v>10</v>
      </c>
      <c r="F5" s="60" t="s">
        <v>11</v>
      </c>
      <c r="G5" s="60" t="s">
        <v>12</v>
      </c>
      <c r="H5" s="60" t="s">
        <v>13</v>
      </c>
      <c r="I5" s="60" t="s">
        <v>14</v>
      </c>
    </row>
    <row r="7" spans="1:9" x14ac:dyDescent="0.25">
      <c r="A7" s="8" t="s">
        <v>52</v>
      </c>
      <c r="B7" s="8">
        <f>'Revenue Build'!C9</f>
        <v>3622.3</v>
      </c>
      <c r="C7" s="8">
        <f>'Revenue Build'!D9</f>
        <v>4033</v>
      </c>
      <c r="D7" s="8">
        <f>'Revenue Build'!E9</f>
        <v>4662</v>
      </c>
      <c r="E7" s="8">
        <f>'Revenue Build'!F9</f>
        <v>5274.5240000000003</v>
      </c>
      <c r="F7" s="8">
        <f>'Revenue Build'!G9</f>
        <v>5969.0443200000009</v>
      </c>
      <c r="G7" s="8">
        <f>'Revenue Build'!H9</f>
        <v>6697.0690256000007</v>
      </c>
      <c r="H7" s="8">
        <f>'Revenue Build'!I9</f>
        <v>7428.3841568800017</v>
      </c>
      <c r="I7" s="8">
        <f>'Revenue Build'!J9</f>
        <v>8143.3502633016024</v>
      </c>
    </row>
    <row r="8" spans="1:9" x14ac:dyDescent="0.25">
      <c r="A8" s="8" t="s">
        <v>68</v>
      </c>
      <c r="B8" s="8">
        <f>'Opex &amp; EBITDA'!B8</f>
        <v>1333.4</v>
      </c>
      <c r="C8" s="8">
        <f>'Opex &amp; EBITDA'!C8</f>
        <v>1594.8</v>
      </c>
      <c r="D8" s="8">
        <f>'Opex &amp; EBITDA'!D8</f>
        <v>1860.1</v>
      </c>
      <c r="E8" s="8">
        <f>'Opex &amp; EBITDA'!E8</f>
        <v>2109.8096</v>
      </c>
      <c r="F8" s="8">
        <f>'Opex &amp; EBITDA'!F8</f>
        <v>2387.6177280000006</v>
      </c>
      <c r="G8" s="8">
        <f>'Opex &amp; EBITDA'!G8</f>
        <v>2692.2217482912006</v>
      </c>
      <c r="H8" s="8">
        <f>'Opex &amp; EBITDA'!H8</f>
        <v>2986.210431065761</v>
      </c>
      <c r="I8" s="8">
        <f>'Opex &amp; EBITDA'!I8</f>
        <v>3281.7701561105459</v>
      </c>
    </row>
    <row r="9" spans="1:9" x14ac:dyDescent="0.25">
      <c r="A9" s="8" t="s">
        <v>69</v>
      </c>
      <c r="B9" s="14">
        <v>559.6</v>
      </c>
      <c r="C9" s="14">
        <v>542.6</v>
      </c>
      <c r="D9" s="14">
        <v>629.1</v>
      </c>
      <c r="E9" s="8">
        <f>Assumptions!E23/365*'Working Capital'!E8</f>
        <v>705.19663342465753</v>
      </c>
      <c r="F9" s="8">
        <f>Assumptions!F23/365*'Working Capital'!F8</f>
        <v>784.97021194520562</v>
      </c>
      <c r="G9" s="8">
        <f>Assumptions!G23/365*'Working Capital'!G8</f>
        <v>870.36209944756627</v>
      </c>
      <c r="H9" s="8">
        <f>Assumptions!H23/365*'Working Capital'!H8</f>
        <v>957.22361762929881</v>
      </c>
      <c r="I9" s="8">
        <f>Assumptions!I23/365*'Working Capital'!I8</f>
        <v>1042.9735290652695</v>
      </c>
    </row>
    <row r="10" spans="1:9" x14ac:dyDescent="0.25">
      <c r="A10" s="40" t="s">
        <v>70</v>
      </c>
      <c r="B10" s="41">
        <v>973.9</v>
      </c>
      <c r="C10" s="41">
        <v>1005.7</v>
      </c>
      <c r="D10" s="41">
        <v>1216.0999999999999</v>
      </c>
      <c r="E10" s="40">
        <f>Assumptions!E24/365*E7</f>
        <v>1358.3705643835617</v>
      </c>
      <c r="F10" s="40">
        <f>Assumptions!F24/365*F7</f>
        <v>1520.8797856438359</v>
      </c>
      <c r="G10" s="40">
        <f>Assumptions!G24/365*G7</f>
        <v>1688.0283571375346</v>
      </c>
      <c r="H10" s="40">
        <f>Assumptions!H24/365*H7</f>
        <v>1872.3598422820828</v>
      </c>
      <c r="I10" s="40">
        <f>Assumptions!I24/365*I7</f>
        <v>2030.2599286587556</v>
      </c>
    </row>
    <row r="11" spans="1:9" x14ac:dyDescent="0.25">
      <c r="A11" s="30" t="s">
        <v>106</v>
      </c>
      <c r="B11" s="29">
        <v>1345.5</v>
      </c>
      <c r="C11" s="29">
        <v>1585.1</v>
      </c>
      <c r="D11" s="29">
        <v>1944</v>
      </c>
      <c r="E11" s="27">
        <f>Assumptions!E25/365*E8</f>
        <v>2225.4156054794521</v>
      </c>
      <c r="F11" s="27">
        <f>Assumptions!F25/365*F8</f>
        <v>2538.0703519561653</v>
      </c>
      <c r="G11" s="27">
        <f>Assumptions!G25/365*G8</f>
        <v>2876.6204981741598</v>
      </c>
      <c r="H11" s="27">
        <f>Assumptions!H25/365*H8</f>
        <v>3190.7453920976627</v>
      </c>
      <c r="I11" s="27">
        <f>Assumptions!I25/365*I8</f>
        <v>3506.5489339263368</v>
      </c>
    </row>
    <row r="12" spans="1:9" x14ac:dyDescent="0.25">
      <c r="A12" s="27" t="s">
        <v>71</v>
      </c>
      <c r="B12" s="27">
        <f>B9+B10-B11</f>
        <v>188</v>
      </c>
      <c r="C12" s="27">
        <f t="shared" ref="C12:I12" si="0">C9+C10-C11</f>
        <v>-36.799999999999727</v>
      </c>
      <c r="D12" s="27">
        <f t="shared" si="0"/>
        <v>-98.800000000000182</v>
      </c>
      <c r="E12" s="27">
        <f t="shared" si="0"/>
        <v>-161.84840767123296</v>
      </c>
      <c r="F12" s="27">
        <f t="shared" si="0"/>
        <v>-232.22035436712349</v>
      </c>
      <c r="G12" s="27">
        <f t="shared" si="0"/>
        <v>-318.23004158905906</v>
      </c>
      <c r="H12" s="27">
        <f t="shared" si="0"/>
        <v>-361.16193218628132</v>
      </c>
      <c r="I12" s="27">
        <f t="shared" si="0"/>
        <v>-433.3154762023114</v>
      </c>
    </row>
    <row r="13" spans="1:9" x14ac:dyDescent="0.25">
      <c r="A13" s="27" t="s">
        <v>72</v>
      </c>
      <c r="B13" s="29">
        <v>69.8</v>
      </c>
      <c r="C13" s="27">
        <f>C12-B12</f>
        <v>-224.79999999999973</v>
      </c>
      <c r="D13" s="27">
        <f t="shared" ref="D13:I13" si="1">D12-C12</f>
        <v>-62.000000000000455</v>
      </c>
      <c r="E13" s="27">
        <f t="shared" si="1"/>
        <v>-63.048407671232781</v>
      </c>
      <c r="F13" s="27">
        <f t="shared" si="1"/>
        <v>-70.371946695890529</v>
      </c>
      <c r="G13" s="27">
        <f t="shared" si="1"/>
        <v>-86.009687221935565</v>
      </c>
      <c r="H13" s="27">
        <f t="shared" si="1"/>
        <v>-42.931890597222264</v>
      </c>
      <c r="I13" s="27">
        <f t="shared" si="1"/>
        <v>-72.153544016030082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3"/>
  <sheetViews>
    <sheetView showGridLines="0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C22" sqref="C22"/>
    </sheetView>
  </sheetViews>
  <sheetFormatPr defaultColWidth="8.7265625" defaultRowHeight="12.5" x14ac:dyDescent="0.25"/>
  <cols>
    <col min="1" max="1" width="48" customWidth="1"/>
    <col min="2" max="9" width="12" customWidth="1"/>
  </cols>
  <sheetData>
    <row r="1" spans="1:9" ht="18" x14ac:dyDescent="0.4">
      <c r="A1" s="1" t="s">
        <v>3</v>
      </c>
    </row>
    <row r="2" spans="1:9" ht="14.5" x14ac:dyDescent="0.35">
      <c r="A2" s="4" t="s">
        <v>73</v>
      </c>
    </row>
    <row r="3" spans="1:9" ht="13" x14ac:dyDescent="0.3">
      <c r="A3" s="5" t="s">
        <v>5</v>
      </c>
    </row>
    <row r="5" spans="1:9" ht="18" customHeight="1" x14ac:dyDescent="0.3">
      <c r="A5" s="64" t="s">
        <v>6</v>
      </c>
      <c r="B5" s="60" t="s">
        <v>7</v>
      </c>
      <c r="C5" s="60" t="s">
        <v>8</v>
      </c>
      <c r="D5" s="60" t="s">
        <v>9</v>
      </c>
      <c r="E5" s="60" t="s">
        <v>10</v>
      </c>
      <c r="F5" s="60" t="s">
        <v>11</v>
      </c>
      <c r="G5" s="60" t="s">
        <v>12</v>
      </c>
      <c r="H5" s="60" t="s">
        <v>13</v>
      </c>
      <c r="I5" s="60" t="s">
        <v>14</v>
      </c>
    </row>
    <row r="7" spans="1:9" x14ac:dyDescent="0.25">
      <c r="A7" s="27" t="s">
        <v>74</v>
      </c>
      <c r="B7" s="27">
        <f>'Opex &amp; EBITDA'!B12</f>
        <v>597.70000000000005</v>
      </c>
      <c r="C7" s="27">
        <f>'Opex &amp; EBITDA'!C12</f>
        <v>599.99999999999977</v>
      </c>
      <c r="D7" s="27">
        <f>'Opex &amp; EBITDA'!D12</f>
        <v>911.80000000000018</v>
      </c>
      <c r="E7" s="27">
        <f>'Opex &amp; EBITDA'!E12</f>
        <v>1107.65004</v>
      </c>
      <c r="F7" s="27">
        <f>'Opex &amp; EBITDA'!F12</f>
        <v>1343.0349719999999</v>
      </c>
      <c r="G7" s="27">
        <f>'Opex &amp; EBITDA'!G12</f>
        <v>1593.9024280927999</v>
      </c>
      <c r="H7" s="27">
        <f>'Opex &amp; EBITDA'!H12</f>
        <v>1879.3811916906395</v>
      </c>
      <c r="I7" s="27">
        <f>'Opex &amp; EBITDA'!I12</f>
        <v>2174.2745203015274</v>
      </c>
    </row>
    <row r="8" spans="1:9" x14ac:dyDescent="0.25">
      <c r="A8" s="27" t="s">
        <v>75</v>
      </c>
      <c r="B8" s="33">
        <f>Assumptions!B28</f>
        <v>0.2316</v>
      </c>
      <c r="C8" s="33">
        <f>Assumptions!C28</f>
        <v>0.18729999999999999</v>
      </c>
      <c r="D8" s="33">
        <f>Assumptions!D28</f>
        <v>0.23769999999999999</v>
      </c>
      <c r="E8" s="33">
        <f>Assumptions!E28</f>
        <v>0.24</v>
      </c>
      <c r="F8" s="33">
        <f>Assumptions!F28</f>
        <v>0.24</v>
      </c>
      <c r="G8" s="33">
        <f>Assumptions!G28</f>
        <v>0.24</v>
      </c>
      <c r="H8" s="33">
        <f>Assumptions!H28</f>
        <v>0.24</v>
      </c>
      <c r="I8" s="33">
        <f>Assumptions!I28</f>
        <v>0.24</v>
      </c>
    </row>
    <row r="9" spans="1:9" x14ac:dyDescent="0.25">
      <c r="A9" s="27" t="s">
        <v>76</v>
      </c>
      <c r="B9" s="27">
        <f>B7*(1-B8)</f>
        <v>459.27268000000004</v>
      </c>
      <c r="C9" s="27">
        <f t="shared" ref="C9:I9" si="0">C7*(1-C8)</f>
        <v>487.61999999999978</v>
      </c>
      <c r="D9" s="27">
        <f t="shared" si="0"/>
        <v>695.06514000000016</v>
      </c>
      <c r="E9" s="27">
        <f t="shared" si="0"/>
        <v>841.81403039999998</v>
      </c>
      <c r="F9" s="27">
        <f t="shared" si="0"/>
        <v>1020.7065787199999</v>
      </c>
      <c r="G9" s="27">
        <f t="shared" si="0"/>
        <v>1211.3658453505279</v>
      </c>
      <c r="H9" s="27">
        <f t="shared" si="0"/>
        <v>1428.329705684886</v>
      </c>
      <c r="I9" s="27">
        <f t="shared" si="0"/>
        <v>1652.448635429161</v>
      </c>
    </row>
    <row r="10" spans="1:9" x14ac:dyDescent="0.25">
      <c r="A10" s="27" t="s">
        <v>77</v>
      </c>
      <c r="B10" s="27">
        <f>'Capex &amp; DA'!B11</f>
        <v>186</v>
      </c>
      <c r="C10" s="27">
        <f>'Capex &amp; DA'!C11</f>
        <v>217.7</v>
      </c>
      <c r="D10" s="27">
        <f>'Capex &amp; DA'!D11</f>
        <v>251.8</v>
      </c>
      <c r="E10" s="27">
        <f>'Capex &amp; DA'!E11</f>
        <v>284.824296</v>
      </c>
      <c r="F10" s="27">
        <f>'Capex &amp; DA'!F11</f>
        <v>328.29743760000002</v>
      </c>
      <c r="G10" s="27">
        <f>'Capex &amp; DA'!G11</f>
        <v>368.33879640800006</v>
      </c>
      <c r="H10" s="27">
        <f>'Capex &amp; DA'!H11</f>
        <v>415.98951278528011</v>
      </c>
      <c r="I10" s="27">
        <f>'Capex &amp; DA'!I11</f>
        <v>456.02761474488972</v>
      </c>
    </row>
    <row r="11" spans="1:9" x14ac:dyDescent="0.25">
      <c r="A11" s="27" t="s">
        <v>78</v>
      </c>
      <c r="B11" s="27">
        <f>'Capex &amp; DA'!B8</f>
        <v>236.6</v>
      </c>
      <c r="C11" s="27">
        <f>'Capex &amp; DA'!C8</f>
        <v>358.8</v>
      </c>
      <c r="D11" s="27">
        <f>'Capex &amp; DA'!D8</f>
        <v>363.5</v>
      </c>
      <c r="E11" s="27">
        <f>'Capex &amp; DA'!E8</f>
        <v>395.58930000000004</v>
      </c>
      <c r="F11" s="27">
        <f>'Capex &amp; DA'!F8</f>
        <v>435.74023536000004</v>
      </c>
      <c r="G11" s="27">
        <f>'Capex &amp; DA'!G8</f>
        <v>468.79483179200008</v>
      </c>
      <c r="H11" s="27">
        <f>'Capex &amp; DA'!H8</f>
        <v>505.13012266784017</v>
      </c>
      <c r="I11" s="27">
        <f>'Capex &amp; DA'!I8</f>
        <v>529.31776711460418</v>
      </c>
    </row>
    <row r="12" spans="1:9" x14ac:dyDescent="0.25">
      <c r="A12" s="27" t="s">
        <v>79</v>
      </c>
      <c r="B12" s="27">
        <f>'Working Capital'!B13</f>
        <v>69.8</v>
      </c>
      <c r="C12" s="27">
        <f>'Working Capital'!C13</f>
        <v>-224.79999999999973</v>
      </c>
      <c r="D12" s="27">
        <f>'Working Capital'!D13</f>
        <v>-62.000000000000455</v>
      </c>
      <c r="E12" s="27">
        <f>'Working Capital'!E13</f>
        <v>-63.048407671232781</v>
      </c>
      <c r="F12" s="27">
        <f>'Working Capital'!F13</f>
        <v>-70.371946695890529</v>
      </c>
      <c r="G12" s="27">
        <f>'Working Capital'!G13</f>
        <v>-86.009687221935565</v>
      </c>
      <c r="H12" s="27">
        <f>'Working Capital'!H13</f>
        <v>-42.931890597222264</v>
      </c>
      <c r="I12" s="27">
        <f>'Working Capital'!I13</f>
        <v>-72.153544016030082</v>
      </c>
    </row>
    <row r="13" spans="1:9" x14ac:dyDescent="0.25">
      <c r="A13" s="30" t="s">
        <v>80</v>
      </c>
      <c r="B13" s="27">
        <f>B9+B10-B11-B12</f>
        <v>338.87268</v>
      </c>
      <c r="C13" s="27">
        <f t="shared" ref="C13:I13" si="1">C9+C10-C11-C12</f>
        <v>571.31999999999948</v>
      </c>
      <c r="D13" s="27">
        <f t="shared" si="1"/>
        <v>645.36514000000057</v>
      </c>
      <c r="E13" s="27">
        <f t="shared" si="1"/>
        <v>794.09743407123278</v>
      </c>
      <c r="F13" s="27">
        <f t="shared" si="1"/>
        <v>983.63572765589038</v>
      </c>
      <c r="G13" s="27">
        <f t="shared" si="1"/>
        <v>1196.9194971884635</v>
      </c>
      <c r="H13" s="27">
        <f t="shared" si="1"/>
        <v>1382.1209863995482</v>
      </c>
      <c r="I13" s="27">
        <f t="shared" si="1"/>
        <v>1651.3120270754766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1"/>
  <sheetViews>
    <sheetView showGridLines="0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5" sqref="A5:I5"/>
    </sheetView>
  </sheetViews>
  <sheetFormatPr defaultColWidth="8.7265625" defaultRowHeight="12.5" x14ac:dyDescent="0.25"/>
  <cols>
    <col min="1" max="1" width="48" customWidth="1"/>
    <col min="2" max="9" width="12" customWidth="1"/>
  </cols>
  <sheetData>
    <row r="1" spans="1:9" ht="18" x14ac:dyDescent="0.4">
      <c r="A1" s="1" t="s">
        <v>3</v>
      </c>
    </row>
    <row r="2" spans="1:9" ht="14.5" x14ac:dyDescent="0.35">
      <c r="A2" s="4" t="s">
        <v>81</v>
      </c>
    </row>
    <row r="3" spans="1:9" ht="13" x14ac:dyDescent="0.3">
      <c r="A3" s="5" t="s">
        <v>5</v>
      </c>
    </row>
    <row r="5" spans="1:9" ht="18" customHeight="1" x14ac:dyDescent="0.3">
      <c r="A5" s="66" t="s">
        <v>6</v>
      </c>
      <c r="B5" s="63"/>
      <c r="C5" s="63"/>
      <c r="D5" s="63"/>
      <c r="E5" s="63"/>
      <c r="F5" s="63"/>
      <c r="G5" s="63"/>
      <c r="H5" s="63"/>
      <c r="I5" s="63"/>
    </row>
    <row r="7" spans="1:9" x14ac:dyDescent="0.25">
      <c r="A7" s="27" t="s">
        <v>82</v>
      </c>
      <c r="B7" s="33">
        <f>Assumptions!B34</f>
        <v>0.11132500000000001</v>
      </c>
      <c r="C7" s="20"/>
      <c r="D7" s="20"/>
      <c r="E7" s="20"/>
      <c r="F7" s="20"/>
      <c r="G7" s="20"/>
      <c r="H7" s="20"/>
      <c r="I7" s="20"/>
    </row>
    <row r="8" spans="1:9" x14ac:dyDescent="0.25">
      <c r="A8" s="27" t="s">
        <v>83</v>
      </c>
      <c r="B8" s="33">
        <f>Assumptions!B37</f>
        <v>4.3700000000000003E-2</v>
      </c>
      <c r="C8" s="20"/>
      <c r="D8" s="20"/>
      <c r="E8" s="20"/>
      <c r="F8" s="20"/>
      <c r="G8" s="20"/>
      <c r="H8" s="20"/>
      <c r="I8" s="20"/>
    </row>
    <row r="9" spans="1:9" x14ac:dyDescent="0.25">
      <c r="A9" s="27" t="s">
        <v>84</v>
      </c>
      <c r="B9" s="33">
        <f>Assumptions!B39</f>
        <v>0.875</v>
      </c>
      <c r="C9" s="20"/>
      <c r="D9" s="20"/>
      <c r="E9" s="20"/>
      <c r="F9" s="20"/>
      <c r="G9" s="20"/>
      <c r="H9" s="20"/>
      <c r="I9" s="20"/>
    </row>
    <row r="10" spans="1:9" x14ac:dyDescent="0.25">
      <c r="A10" s="27" t="s">
        <v>85</v>
      </c>
      <c r="B10" s="33">
        <f>Assumptions!B38</f>
        <v>0.125</v>
      </c>
      <c r="C10" s="20"/>
      <c r="D10" s="20"/>
      <c r="E10" s="20"/>
      <c r="F10" s="20"/>
      <c r="G10" s="20"/>
      <c r="H10" s="20"/>
      <c r="I10" s="20"/>
    </row>
    <row r="11" spans="1:9" x14ac:dyDescent="0.25">
      <c r="A11" s="27" t="s">
        <v>86</v>
      </c>
      <c r="B11" s="33">
        <f>Assumptions!B40</f>
        <v>0.102871875</v>
      </c>
      <c r="C11" s="20"/>
      <c r="D11" s="20"/>
      <c r="E11" s="20"/>
      <c r="F11" s="20"/>
      <c r="G11" s="20"/>
      <c r="H11" s="20"/>
      <c r="I11" s="20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0"/>
  <sheetViews>
    <sheetView showGridLines="0" zoomScale="90" zoomScaleNormal="9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E21" sqref="E21"/>
    </sheetView>
  </sheetViews>
  <sheetFormatPr defaultColWidth="8.7265625" defaultRowHeight="12.5" x14ac:dyDescent="0.25"/>
  <cols>
    <col min="1" max="1" width="48" customWidth="1"/>
    <col min="2" max="9" width="12" customWidth="1"/>
  </cols>
  <sheetData>
    <row r="1" spans="1:6" ht="18" x14ac:dyDescent="0.4">
      <c r="A1" s="1" t="s">
        <v>3</v>
      </c>
    </row>
    <row r="2" spans="1:6" ht="14.5" x14ac:dyDescent="0.35">
      <c r="A2" s="4" t="s">
        <v>87</v>
      </c>
    </row>
    <row r="3" spans="1:6" ht="13" x14ac:dyDescent="0.3">
      <c r="A3" s="5" t="s">
        <v>5</v>
      </c>
    </row>
    <row r="5" spans="1:6" ht="18" customHeight="1" x14ac:dyDescent="0.3">
      <c r="A5" s="64" t="s">
        <v>6</v>
      </c>
      <c r="B5" s="60" t="s">
        <v>10</v>
      </c>
      <c r="C5" s="60" t="s">
        <v>11</v>
      </c>
      <c r="D5" s="60" t="s">
        <v>12</v>
      </c>
      <c r="E5" s="60" t="s">
        <v>13</v>
      </c>
      <c r="F5" s="60" t="s">
        <v>14</v>
      </c>
    </row>
    <row r="7" spans="1:6" x14ac:dyDescent="0.25">
      <c r="A7" s="27" t="s">
        <v>88</v>
      </c>
      <c r="B7" s="27">
        <f>'Unlevered FCF'!E13</f>
        <v>794.09743407123278</v>
      </c>
      <c r="C7" s="27">
        <f>'Unlevered FCF'!F13</f>
        <v>983.63572765589038</v>
      </c>
      <c r="D7" s="27">
        <f>'Unlevered FCF'!G13</f>
        <v>1196.9194971884635</v>
      </c>
      <c r="E7" s="27">
        <f>'Unlevered FCF'!H13</f>
        <v>1382.1209863995482</v>
      </c>
      <c r="F7" s="27">
        <f>'Unlevered FCF'!I13</f>
        <v>1651.3120270754766</v>
      </c>
    </row>
    <row r="8" spans="1:6" x14ac:dyDescent="0.25">
      <c r="A8" s="27" t="s">
        <v>89</v>
      </c>
      <c r="B8" s="37">
        <v>1</v>
      </c>
      <c r="C8" s="37">
        <v>2</v>
      </c>
      <c r="D8" s="37">
        <v>3</v>
      </c>
      <c r="E8" s="37">
        <v>4</v>
      </c>
      <c r="F8" s="37">
        <v>5</v>
      </c>
    </row>
    <row r="9" spans="1:6" x14ac:dyDescent="0.25">
      <c r="A9" s="27" t="s">
        <v>90</v>
      </c>
      <c r="B9" s="38">
        <f>1/(1+WACC!$B$11)^'DCF &amp; Valuation'!B8</f>
        <v>0.90672363913532572</v>
      </c>
      <c r="C9" s="38">
        <f>1/(1+WACC!$B$11)^'DCF &amp; Valuation'!C8</f>
        <v>0.82214775776680848</v>
      </c>
      <c r="D9" s="38">
        <f>1/(1+WACC!$B$11)^'DCF &amp; Valuation'!D8</f>
        <v>0.74546080682926885</v>
      </c>
      <c r="E9" s="38">
        <f>1/(1+WACC!$B$11)^'DCF &amp; Valuation'!E8</f>
        <v>0.67592693560099071</v>
      </c>
      <c r="F9" s="38">
        <f>1/(1+WACC!$B$11)^'DCF &amp; Valuation'!F8</f>
        <v>0.61287893083771927</v>
      </c>
    </row>
    <row r="10" spans="1:6" x14ac:dyDescent="0.25">
      <c r="A10" s="27" t="s">
        <v>91</v>
      </c>
      <c r="B10" s="27">
        <f>B7*B9</f>
        <v>720.02691524909255</v>
      </c>
      <c r="C10" s="27">
        <f t="shared" ref="C10:F10" si="0">C7*C9</f>
        <v>808.69390795161337</v>
      </c>
      <c r="D10" s="27">
        <f t="shared" si="0"/>
        <v>892.25657408379482</v>
      </c>
      <c r="E10" s="27">
        <f t="shared" si="0"/>
        <v>934.21280296686518</v>
      </c>
      <c r="F10" s="27">
        <f t="shared" si="0"/>
        <v>1012.054349633485</v>
      </c>
    </row>
    <row r="11" spans="1:6" x14ac:dyDescent="0.25">
      <c r="A11" s="27" t="s">
        <v>92</v>
      </c>
      <c r="B11" s="27">
        <f>SUM(B10:F10)</f>
        <v>4367.244549884851</v>
      </c>
      <c r="C11" s="27"/>
      <c r="D11" s="27"/>
      <c r="E11" s="27"/>
      <c r="F11" s="27"/>
    </row>
    <row r="12" spans="1:6" x14ac:dyDescent="0.25">
      <c r="A12" s="27" t="s">
        <v>93</v>
      </c>
      <c r="B12" s="27"/>
      <c r="C12" s="27"/>
      <c r="D12" s="27"/>
      <c r="E12" s="27"/>
      <c r="F12" s="27">
        <f>(F7*(1+Assumptions!B43))/(WACC!$B$11-Assumptions!B43)</f>
        <v>21735.637259952495</v>
      </c>
    </row>
    <row r="13" spans="1:6" x14ac:dyDescent="0.25">
      <c r="A13" s="27" t="s">
        <v>94</v>
      </c>
      <c r="B13" s="27"/>
      <c r="C13" s="27"/>
      <c r="D13" s="27"/>
      <c r="E13" s="27"/>
      <c r="F13" s="27">
        <f>F12*F9</f>
        <v>13321.31412495618</v>
      </c>
    </row>
    <row r="14" spans="1:6" x14ac:dyDescent="0.25">
      <c r="A14" s="36"/>
    </row>
    <row r="15" spans="1:6" ht="13" x14ac:dyDescent="0.3">
      <c r="A15" s="59" t="s">
        <v>107</v>
      </c>
      <c r="B15" s="65"/>
      <c r="C15" s="65"/>
      <c r="D15" s="65"/>
      <c r="E15" s="65"/>
      <c r="F15" s="65"/>
    </row>
    <row r="16" spans="1:6" x14ac:dyDescent="0.25">
      <c r="A16" s="27" t="s">
        <v>95</v>
      </c>
      <c r="B16" s="43">
        <f>B11+F13</f>
        <v>17688.558674841031</v>
      </c>
    </row>
    <row r="17" spans="1:2" x14ac:dyDescent="0.25">
      <c r="A17" s="27" t="s">
        <v>96</v>
      </c>
      <c r="B17" s="45">
        <v>-757.8</v>
      </c>
    </row>
    <row r="18" spans="1:2" x14ac:dyDescent="0.25">
      <c r="A18" s="27" t="s">
        <v>97</v>
      </c>
      <c r="B18" s="43">
        <f>B16-B17</f>
        <v>18446.358674841031</v>
      </c>
    </row>
    <row r="19" spans="1:2" x14ac:dyDescent="0.25">
      <c r="A19" s="27" t="s">
        <v>98</v>
      </c>
      <c r="B19" s="44">
        <v>405.5</v>
      </c>
    </row>
    <row r="20" spans="1:2" ht="13" x14ac:dyDescent="0.3">
      <c r="A20" s="42" t="s">
        <v>99</v>
      </c>
      <c r="B20" s="39">
        <f>B18/B19</f>
        <v>45.490403637092555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46"/>
  <sheetViews>
    <sheetView showGridLines="0" zoomScale="60" zoomScaleNormal="6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ColWidth="8.7265625" defaultRowHeight="12.5" x14ac:dyDescent="0.25"/>
  <cols>
    <col min="1" max="1" width="48" customWidth="1"/>
    <col min="2" max="2" width="15.453125" customWidth="1"/>
    <col min="3" max="9" width="12" customWidth="1"/>
  </cols>
  <sheetData>
    <row r="1" spans="1:7" ht="18" x14ac:dyDescent="0.4">
      <c r="A1" s="1" t="s">
        <v>3</v>
      </c>
    </row>
    <row r="2" spans="1:7" ht="14.5" x14ac:dyDescent="0.35">
      <c r="A2" s="4" t="s">
        <v>100</v>
      </c>
    </row>
    <row r="3" spans="1:7" ht="13" x14ac:dyDescent="0.3">
      <c r="A3" s="5" t="s">
        <v>5</v>
      </c>
    </row>
    <row r="5" spans="1:7" ht="18" customHeight="1" x14ac:dyDescent="0.25"/>
    <row r="8" spans="1:7" ht="13" x14ac:dyDescent="0.3">
      <c r="B8" s="52" t="s">
        <v>108</v>
      </c>
    </row>
    <row r="11" spans="1:7" x14ac:dyDescent="0.25">
      <c r="E11" t="s">
        <v>109</v>
      </c>
    </row>
    <row r="12" spans="1:7" x14ac:dyDescent="0.25">
      <c r="B12" s="25" t="s">
        <v>86</v>
      </c>
      <c r="C12" s="21">
        <v>1.4999999999999999E-2</v>
      </c>
      <c r="D12" s="21">
        <v>0.02</v>
      </c>
      <c r="E12" s="21">
        <v>2.5000000000000001E-2</v>
      </c>
      <c r="F12" s="21">
        <v>0.03</v>
      </c>
      <c r="G12" s="21">
        <v>3.5000000000000003E-2</v>
      </c>
    </row>
    <row r="13" spans="1:7" x14ac:dyDescent="0.25">
      <c r="B13" s="21">
        <v>0.09</v>
      </c>
      <c r="C13" s="22">
        <f>(NPV($B13,'Unlevered FCF'!$E$13:$I$13)+('Unlevered FCF'!$I$13*(1+C$12))/($B13-C$12)/(1+$B13)^5-'DCF &amp; Valuation'!$B$17)/'DCF &amp; Valuation'!$B$19</f>
        <v>48.8664727506725</v>
      </c>
      <c r="D13" s="22">
        <f>(NPV($B13,'Unlevered FCF'!$E$13:$I$13)+('Unlevered FCF'!$I$13*(1+D$12))/($B13-D$12)/(1+$B13)^5-'DCF &amp; Valuation'!$B$17)/'DCF &amp; Valuation'!$B$19</f>
        <v>51.614006239758154</v>
      </c>
      <c r="E13" s="22">
        <f>(NPV($B13,'Unlevered FCF'!$E$13:$I$13)+('Unlevered FCF'!$I$13*(1+E$12))/($B13-E$12)/(1+$B13)^5-'DCF &amp; Valuation'!$B$17)/'DCF &amp; Valuation'!$B$19</f>
        <v>54.784237188703131</v>
      </c>
      <c r="F13" s="22">
        <f>(NPV($B13,'Unlevered FCF'!$E$13:$I$13)+('Unlevered FCF'!$I$13*(1+F$12))/($B13-F$12)/(1+$B13)^5-'DCF &amp; Valuation'!$B$17)/'DCF &amp; Valuation'!$B$19</f>
        <v>58.482839962472269</v>
      </c>
      <c r="G13" s="22">
        <f>(NPV($B13,'Unlevered FCF'!$E$13:$I$13)+('Unlevered FCF'!$I$13*(1+G$12))/($B13-G$12)/(1+$B13)^5-'DCF &amp; Valuation'!$B$17)/'DCF &amp; Valuation'!$B$19</f>
        <v>62.853915967835796</v>
      </c>
    </row>
    <row r="14" spans="1:7" x14ac:dyDescent="0.25">
      <c r="B14" s="21">
        <v>9.5000000000000001E-2</v>
      </c>
      <c r="C14" s="22">
        <f>(NPV($B14,'Unlevered FCF'!$E$13:$I$13)+('Unlevered FCF'!$I$13*(1+C$12))/($B14-C$12)/(1+$B14)^5-'DCF &amp; Valuation'!$B$17)/'DCF &amp; Valuation'!$B$19</f>
        <v>45.706534528071117</v>
      </c>
      <c r="D14" s="22">
        <f>(NPV($B14,'Unlevered FCF'!$E$13:$I$13)+('Unlevered FCF'!$I$13*(1+D$12))/($B14-D$12)/(1+$B14)^5-'DCF &amp; Valuation'!$B$17)/'DCF &amp; Valuation'!$B$19</f>
        <v>48.067015819797511</v>
      </c>
      <c r="E14" s="22">
        <f>(NPV($B14,'Unlevered FCF'!$E$13:$I$13)+('Unlevered FCF'!$I$13*(1+E$12))/($B14-E$12)/(1+$B14)^5-'DCF &amp; Valuation'!$B$17)/'DCF &amp; Valuation'!$B$19</f>
        <v>50.764708724627653</v>
      </c>
      <c r="F14" s="22">
        <f>(NPV($B14,'Unlevered FCF'!$E$13:$I$13)+('Unlevered FCF'!$I$13*(1+F$12))/($B14-F$12)/(1+$B14)^5-'DCF &amp; Valuation'!$B$17)/'DCF &amp; Valuation'!$B$19</f>
        <v>53.877431307123992</v>
      </c>
      <c r="G14" s="22">
        <f>(NPV($B14,'Unlevered FCF'!$E$13:$I$13)+('Unlevered FCF'!$I$13*(1+G$12))/($B14-G$12)/(1+$B14)^5-'DCF &amp; Valuation'!$B$17)/'DCF &amp; Valuation'!$B$19</f>
        <v>57.508940986703045</v>
      </c>
    </row>
    <row r="15" spans="1:7" ht="13" thickBot="1" x14ac:dyDescent="0.3">
      <c r="B15" s="21">
        <v>0.1</v>
      </c>
      <c r="C15" s="22">
        <f>(NPV($B15,'Unlevered FCF'!$E$13:$I$13)+('Unlevered FCF'!$I$13*(1+C$12))/($B15-C$12)/(1+$B15)^5-'DCF &amp; Valuation'!$B$17)/'DCF &amp; Valuation'!$B$19</f>
        <v>42.922166779849782</v>
      </c>
      <c r="D15" s="22">
        <f>(NPV($B15,'Unlevered FCF'!$E$13:$I$13)+('Unlevered FCF'!$I$13*(1+D$12))/($B15-D$12)/(1+$B15)^5-'DCF &amp; Valuation'!$B$17)/'DCF &amp; Valuation'!$B$19</f>
        <v>44.96733312042192</v>
      </c>
      <c r="E15" s="48">
        <f>(NPV($B15,'Unlevered FCF'!$E$13:$I$13)+('Unlevered FCF'!$I$13*(1+E$12))/($B15-E$12)/(1+$B15)^5-'DCF &amp; Valuation'!$B$17)/'DCF &amp; Valuation'!$B$19</f>
        <v>47.285188306403668</v>
      </c>
      <c r="F15" s="22">
        <f>(NPV($B15,'Unlevered FCF'!$E$13:$I$13)+('Unlevered FCF'!$I$13*(1+F$12))/($B15-F$12)/(1+$B15)^5-'DCF &amp; Valuation'!$B$17)/'DCF &amp; Valuation'!$B$19</f>
        <v>49.934165661811384</v>
      </c>
      <c r="G15" s="22">
        <f>(NPV($B15,'Unlevered FCF'!$E$13:$I$13)+('Unlevered FCF'!$I$13*(1+G$12))/($B15-G$12)/(1+$B15)^5-'DCF &amp; Valuation'!$B$17)/'DCF &amp; Valuation'!$B$19</f>
        <v>52.990677994974135</v>
      </c>
    </row>
    <row r="16" spans="1:7" ht="13" thickBot="1" x14ac:dyDescent="0.3">
      <c r="B16" s="24">
        <v>0.10290000000000001</v>
      </c>
      <c r="C16" s="22">
        <f>(NPV($B16,'Unlevered FCF'!$E$13:$I$13)+('Unlevered FCF'!$I$13*(1+C$12))/($B16-C$12)/(1+$B16)^5-'DCF &amp; Valuation'!$B$17)/'DCF &amp; Valuation'!$B$19</f>
        <v>41.454030199287089</v>
      </c>
      <c r="D16" s="46">
        <f>(NPV($B16,'Unlevered FCF'!$E$13:$I$13)+('Unlevered FCF'!$I$13*(1+D$12))/($B16-D$12)/(1+$B16)^5-'DCF &amp; Valuation'!$B$17)/'DCF &amp; Valuation'!$B$19</f>
        <v>43.342544758505063</v>
      </c>
      <c r="E16" s="50">
        <f>(NPV($B16,'Unlevered FCF'!$E$13:$I$13)+('Unlevered FCF'!$I$13*(1+E$12))/($B16-E$12)/(1+$B16)^5-'DCF &amp; Valuation'!$B$17)/'DCF &amp; Valuation'!$B$19</f>
        <v>45.473487374105318</v>
      </c>
      <c r="F16" s="47">
        <f>(NPV($B16,'Unlevered FCF'!$E$13:$I$13)+('Unlevered FCF'!$I$13*(1+F$12))/($B16-F$12)/(1+$B16)^5-'DCF &amp; Valuation'!$B$17)/'DCF &amp; Valuation'!$B$19</f>
        <v>47.896740362215901</v>
      </c>
      <c r="G16" s="22">
        <f>(NPV($B16,'Unlevered FCF'!$E$13:$I$13)+('Unlevered FCF'!$I$13*(1+G$12))/($B16-G$12)/(1+$B16)^5-'DCF &amp; Valuation'!$B$17)/'DCF &amp; Valuation'!$B$19</f>
        <v>50.676878915585768</v>
      </c>
    </row>
    <row r="17" spans="1:7" x14ac:dyDescent="0.25">
      <c r="B17" s="21">
        <v>0.105</v>
      </c>
      <c r="C17" s="22">
        <f>(NPV($B17,'Unlevered FCF'!$E$13:$I$13)+('Unlevered FCF'!$I$13*(1+C$12))/($B17-C$12)/(1+$B17)^5-'DCF &amp; Valuation'!$B$17)/'DCF &amp; Valuation'!$B$19</f>
        <v>40.450688737563389</v>
      </c>
      <c r="D17" s="22">
        <f>(NPV($B17,'Unlevered FCF'!$E$13:$I$13)+('Unlevered FCF'!$I$13*(1+D$12))/($B17-D$12)/(1+$B17)^5-'DCF &amp; Valuation'!$B$17)/'DCF &amp; Valuation'!$B$19</f>
        <v>42.23593339709398</v>
      </c>
      <c r="E17" s="49">
        <f>(NPV($B17,'Unlevered FCF'!$E$13:$I$13)+('Unlevered FCF'!$I$13*(1+E$12))/($B17-E$12)/(1+$B17)^5-'DCF &amp; Valuation'!$B$17)/'DCF &amp; Valuation'!$B$19</f>
        <v>44.244333639065886</v>
      </c>
      <c r="F17" s="22">
        <f>(NPV($B17,'Unlevered FCF'!$E$13:$I$13)+('Unlevered FCF'!$I$13*(1+F$12))/($B17-F$12)/(1+$B17)^5-'DCF &amp; Valuation'!$B$17)/'DCF &amp; Valuation'!$B$19</f>
        <v>46.520520579967382</v>
      </c>
      <c r="G17" s="22">
        <f>(NPV($B17,'Unlevered FCF'!$E$13:$I$13)+('Unlevered FCF'!$I$13*(1+G$12))/($B17-G$12)/(1+$B17)^5-'DCF &amp; Valuation'!$B$17)/'DCF &amp; Valuation'!$B$19</f>
        <v>49.121877083854805</v>
      </c>
    </row>
    <row r="18" spans="1:7" x14ac:dyDescent="0.25">
      <c r="B18" s="21">
        <v>0.11</v>
      </c>
      <c r="C18" s="22">
        <f>(NPV($B18,'Unlevered FCF'!$E$13:$I$13)+('Unlevered FCF'!$I$13*(1+C$12))/($B18-C$12)/(1+$B18)^5-'DCF &amp; Valuation'!$B$17)/'DCF &amp; Valuation'!$B$19</f>
        <v>38.242617926588991</v>
      </c>
      <c r="D18" s="22">
        <f>(NPV($B18,'Unlevered FCF'!$E$13:$I$13)+('Unlevered FCF'!$I$13*(1+D$12))/($B18-D$12)/(1+$B18)^5-'DCF &amp; Valuation'!$B$17)/'DCF &amp; Valuation'!$B$19</f>
        <v>39.811355360286164</v>
      </c>
      <c r="E18" s="22">
        <f>(NPV($B18,'Unlevered FCF'!$E$13:$I$13)+('Unlevered FCF'!$I$13*(1+E$12))/($B18-E$12)/(1+$B18)^5-'DCF &amp; Valuation'!$B$17)/'DCF &amp; Valuation'!$B$19</f>
        <v>41.564650139124161</v>
      </c>
      <c r="F18" s="22">
        <f>(NPV($B18,'Unlevered FCF'!$E$13:$I$13)+('Unlevered FCF'!$I$13*(1+F$12))/($B18-F$12)/(1+$B18)^5-'DCF &amp; Valuation'!$B$17)/'DCF &amp; Valuation'!$B$19</f>
        <v>43.537106765316921</v>
      </c>
      <c r="G18" s="22">
        <f>(NPV($B18,'Unlevered FCF'!$E$13:$I$13)+('Unlevered FCF'!$I$13*(1+G$12))/($B18-G$12)/(1+$B18)^5-'DCF &amp; Valuation'!$B$17)/'DCF &amp; Valuation'!$B$19</f>
        <v>45.77255760833539</v>
      </c>
    </row>
    <row r="19" spans="1:7" x14ac:dyDescent="0.25">
      <c r="B19" s="21">
        <v>0.115</v>
      </c>
      <c r="C19" s="22">
        <f>(NPV($B19,'Unlevered FCF'!$E$13:$I$13)+('Unlevered FCF'!$I$13*(1+C$12))/($B19-C$12)/(1+$B19)^5-'DCF &amp; Valuation'!$B$17)/'DCF &amp; Valuation'!$B$19</f>
        <v>36.258370517819813</v>
      </c>
      <c r="D19" s="22">
        <f>(NPV($B19,'Unlevered FCF'!$E$13:$I$13)+('Unlevered FCF'!$I$13*(1+D$12))/($B19-D$12)/(1+$B19)^5-'DCF &amp; Valuation'!$B$17)/'DCF &amp; Valuation'!$B$19</f>
        <v>37.645079137139447</v>
      </c>
      <c r="E19" s="22">
        <f>(NPV($B19,'Unlevered FCF'!$E$13:$I$13)+('Unlevered FCF'!$I$13*(1+E$12))/($B19-E$12)/(1+$B19)^5-'DCF &amp; Valuation'!$B$17)/'DCF &amp; Valuation'!$B$19</f>
        <v>39.185866491939024</v>
      </c>
      <c r="F19" s="22">
        <f>(NPV($B19,'Unlevered FCF'!$E$13:$I$13)+('Unlevered FCF'!$I$13*(1+F$12))/($B19-F$12)/(1+$B19)^5-'DCF &amp; Valuation'!$B$17)/'DCF &amp; Valuation'!$B$19</f>
        <v>40.907922947303256</v>
      </c>
      <c r="G19" s="22">
        <f>(NPV($B19,'Unlevered FCF'!$E$13:$I$13)+('Unlevered FCF'!$I$13*(1+G$12))/($B19-G$12)/(1+$B19)^5-'DCF &amp; Valuation'!$B$17)/'DCF &amp; Valuation'!$B$19</f>
        <v>42.845236459588023</v>
      </c>
    </row>
    <row r="20" spans="1:7" x14ac:dyDescent="0.25">
      <c r="B20" s="21">
        <v>0.12</v>
      </c>
      <c r="C20" s="22">
        <f>(NPV($B20,'Unlevered FCF'!$E$13:$I$13)+('Unlevered FCF'!$I$13*(1+C$12))/($B20-C$12)/(1+$B20)^5-'DCF &amp; Valuation'!$B$17)/'DCF &amp; Valuation'!$B$19</f>
        <v>34.4659044387435</v>
      </c>
      <c r="D20" s="22">
        <f>(NPV($B20,'Unlevered FCF'!$E$13:$I$13)+('Unlevered FCF'!$I$13*(1+D$12))/($B20-D$12)/(1+$B20)^5-'DCF &amp; Valuation'!$B$17)/'DCF &amp; Valuation'!$B$19</f>
        <v>35.698290847402767</v>
      </c>
      <c r="E20" s="22">
        <f>(NPV($B20,'Unlevered FCF'!$E$13:$I$13)+('Unlevered FCF'!$I$13*(1+E$12))/($B20-E$12)/(1+$B20)^5-'DCF &amp; Valuation'!$B$17)/'DCF &amp; Valuation'!$B$19</f>
        <v>37.060402141184049</v>
      </c>
      <c r="F20" s="22">
        <f>(NPV($B20,'Unlevered FCF'!$E$13:$I$13)+('Unlevered FCF'!$I$13*(1+F$12))/($B20-F$12)/(1+$B20)^5-'DCF &amp; Valuation'!$B$17)/'DCF &amp; Valuation'!$B$19</f>
        <v>38.573859134274372</v>
      </c>
      <c r="G20" s="22">
        <f>(NPV($B20,'Unlevered FCF'!$E$13:$I$13)+('Unlevered FCF'!$I$13*(1+G$12))/($B20-G$12)/(1+$B20)^5-'DCF &amp; Valuation'!$B$17)/'DCF &amp; Valuation'!$B$19</f>
        <v>40.26536989125767</v>
      </c>
    </row>
    <row r="22" spans="1:7" x14ac:dyDescent="0.25">
      <c r="B22" t="s">
        <v>110</v>
      </c>
    </row>
    <row r="24" spans="1:7" x14ac:dyDescent="0.25">
      <c r="B24" t="s">
        <v>111</v>
      </c>
    </row>
    <row r="29" spans="1:7" s="54" customFormat="1" x14ac:dyDescent="0.25">
      <c r="A29"/>
    </row>
    <row r="31" spans="1:7" ht="13" x14ac:dyDescent="0.3">
      <c r="B31" s="52" t="s">
        <v>122</v>
      </c>
      <c r="C31" s="25"/>
      <c r="D31" s="25"/>
      <c r="E31" s="25"/>
      <c r="F31" s="25"/>
    </row>
    <row r="33" spans="2:7" x14ac:dyDescent="0.25">
      <c r="G33" s="25"/>
    </row>
    <row r="34" spans="2:7" x14ac:dyDescent="0.25">
      <c r="E34" t="s">
        <v>113</v>
      </c>
    </row>
    <row r="35" spans="2:7" x14ac:dyDescent="0.25">
      <c r="B35" t="s">
        <v>112</v>
      </c>
      <c r="C35" s="25">
        <v>13</v>
      </c>
      <c r="D35" s="25">
        <v>14.5</v>
      </c>
      <c r="E35" s="25">
        <v>16</v>
      </c>
      <c r="F35" s="25">
        <v>16.5</v>
      </c>
      <c r="G35" s="25">
        <v>18</v>
      </c>
    </row>
    <row r="36" spans="2:7" x14ac:dyDescent="0.25">
      <c r="B36" s="51">
        <v>-0.2</v>
      </c>
      <c r="C36" s="22">
        <f>('DCF &amp; Valuation'!$B$11+('Opex &amp; EBITDA'!$I$14*(1+$B36)*C$35)/(1+WACC!$B$11)^5-'DCF &amp; Valuation'!$B$17)/'DCF &amp; Valuation'!$B$19</f>
        <v>53.983809758525275</v>
      </c>
      <c r="D36" s="22">
        <f>('DCF &amp; Valuation'!$B$11+('Opex &amp; EBITDA'!$I$14*(1+$B36)*D$35)/(1+WACC!$B$11)^5-'DCF &amp; Valuation'!$B$17)/'DCF &amp; Valuation'!$B$19</f>
        <v>58.75438463489742</v>
      </c>
      <c r="E36" s="22">
        <f>('DCF &amp; Valuation'!$B$11+('Opex &amp; EBITDA'!$I$14*(1+$B36)*E$35)/(1+WACC!$B$11)^5-'DCF &amp; Valuation'!$B$17)/'DCF &amp; Valuation'!$B$19</f>
        <v>63.524959511269557</v>
      </c>
      <c r="F36" s="22">
        <f>('DCF &amp; Valuation'!$B$11+('Opex &amp; EBITDA'!$I$14*(1+$B36)*F$35)/(1+WACC!$B$11)^5-'DCF &amp; Valuation'!$B$17)/'DCF &amp; Valuation'!$B$19</f>
        <v>65.115151136726936</v>
      </c>
      <c r="G36" s="22">
        <f>('DCF &amp; Valuation'!$B$11+('Opex &amp; EBITDA'!$I$14*(1+$B36)*G$35)/(1+WACC!$B$11)^5-'DCF &amp; Valuation'!$B$17)/'DCF &amp; Valuation'!$B$19</f>
        <v>69.885726013099074</v>
      </c>
    </row>
    <row r="37" spans="2:7" ht="13" thickBot="1" x14ac:dyDescent="0.3">
      <c r="B37" s="51">
        <v>-0.1</v>
      </c>
      <c r="C37" s="22">
        <f>('DCF &amp; Valuation'!$B$11+('Opex &amp; EBITDA'!$I$14*(1+$B37)*C$35)/(1+WACC!$B$11)^5-'DCF &amp; Valuation'!$B$17)/'DCF &amp; Valuation'!$B$19</f>
        <v>59.151932541261765</v>
      </c>
      <c r="D37" s="22">
        <f>('DCF &amp; Valuation'!$B$11+('Opex &amp; EBITDA'!$I$14*(1+$B37)*D$35)/(1+WACC!$B$11)^5-'DCF &amp; Valuation'!$B$17)/'DCF &amp; Valuation'!$B$19</f>
        <v>64.51882927718043</v>
      </c>
      <c r="E37" s="22">
        <f>('DCF &amp; Valuation'!$B$11+('Opex &amp; EBITDA'!$I$14*(1+$B37)*E$35)/(1+WACC!$B$11)^5-'DCF &amp; Valuation'!$B$17)/'DCF &amp; Valuation'!$B$19</f>
        <v>69.885726013099074</v>
      </c>
      <c r="F37" s="48">
        <f>('DCF &amp; Valuation'!$B$11+('Opex &amp; EBITDA'!$I$14*(1+$B37)*F$35)/(1+WACC!$B$11)^5-'DCF &amp; Valuation'!$B$17)/'DCF &amp; Valuation'!$B$19</f>
        <v>71.674691591738622</v>
      </c>
      <c r="G37" s="22">
        <f>('DCF &amp; Valuation'!$B$11+('Opex &amp; EBITDA'!$I$14*(1+$B37)*G$35)/(1+WACC!$B$11)^5-'DCF &amp; Valuation'!$B$17)/'DCF &amp; Valuation'!$B$19</f>
        <v>77.04158832765728</v>
      </c>
    </row>
    <row r="38" spans="2:7" ht="13" thickBot="1" x14ac:dyDescent="0.3">
      <c r="B38" s="51">
        <v>0</v>
      </c>
      <c r="C38" s="22">
        <f>('DCF &amp; Valuation'!$B$11+('Opex &amp; EBITDA'!$I$14*(1+$B38)*C$35)/(1+WACC!$B$11)^5-'DCF &amp; Valuation'!$B$17)/'DCF &amp; Valuation'!$B$19</f>
        <v>64.320055323998261</v>
      </c>
      <c r="D38" s="22">
        <f>('DCF &amp; Valuation'!$B$11+('Opex &amp; EBITDA'!$I$14*(1+$B38)*D$35)/(1+WACC!$B$11)^5-'DCF &amp; Valuation'!$B$17)/'DCF &amp; Valuation'!$B$19</f>
        <v>70.283273919463426</v>
      </c>
      <c r="E38" s="46">
        <f>('DCF &amp; Valuation'!$B$11+('Opex &amp; EBITDA'!$I$14*(1+$B38)*E$35)/(1+WACC!$B$11)^5-'DCF &amp; Valuation'!$B$17)/'DCF &amp; Valuation'!$B$19</f>
        <v>76.246492514928605</v>
      </c>
      <c r="F38" s="68">
        <f>('DCF &amp; Valuation'!$B$11+('Opex &amp; EBITDA'!$I$14*(1+$B38)*F$35)/(1+WACC!$B$11)^5-'DCF &amp; Valuation'!$B$17)/'DCF &amp; Valuation'!$B$19</f>
        <v>78.234232046750321</v>
      </c>
      <c r="G38" s="47">
        <f>('DCF &amp; Valuation'!$B$11+('Opex &amp; EBITDA'!$I$14*(1+$B38)*G$35)/(1+WACC!$B$11)^5-'DCF &amp; Valuation'!$B$17)/'DCF &amp; Valuation'!$B$19</f>
        <v>84.1974506422155</v>
      </c>
    </row>
    <row r="39" spans="2:7" x14ac:dyDescent="0.25">
      <c r="B39" s="51">
        <v>0.1</v>
      </c>
      <c r="C39" s="22">
        <f>('DCF &amp; Valuation'!$B$11+('Opex &amp; EBITDA'!$I$14*(1+$B39)*C$35)/(1+WACC!$B$11)^5-'DCF &amp; Valuation'!$B$17)/'DCF &amp; Valuation'!$B$19</f>
        <v>69.488178106734736</v>
      </c>
      <c r="D39" s="22">
        <f>('DCF &amp; Valuation'!$B$11+('Opex &amp; EBITDA'!$I$14*(1+$B39)*D$35)/(1+WACC!$B$11)^5-'DCF &amp; Valuation'!$B$17)/'DCF &amp; Valuation'!$B$19</f>
        <v>76.047718561746436</v>
      </c>
      <c r="E39" s="22">
        <f>('DCF &amp; Valuation'!$B$11+('Opex &amp; EBITDA'!$I$14*(1+$B39)*E$35)/(1+WACC!$B$11)^5-'DCF &amp; Valuation'!$B$17)/'DCF &amp; Valuation'!$B$19</f>
        <v>82.607259016758121</v>
      </c>
      <c r="F39" s="49">
        <f>('DCF &amp; Valuation'!$B$11+('Opex &amp; EBITDA'!$I$14*(1+$B39)*F$35)/(1+WACC!$B$11)^5-'DCF &amp; Valuation'!$B$17)/'DCF &amp; Valuation'!$B$19</f>
        <v>84.793772501762035</v>
      </c>
      <c r="G39" s="22">
        <f>('DCF &amp; Valuation'!$B$11+('Opex &amp; EBITDA'!$I$14*(1+$B39)*G$35)/(1+WACC!$B$11)^5-'DCF &amp; Valuation'!$B$17)/'DCF &amp; Valuation'!$B$19</f>
        <v>91.353312956773721</v>
      </c>
    </row>
    <row r="40" spans="2:7" x14ac:dyDescent="0.25">
      <c r="B40" s="51">
        <v>0.2</v>
      </c>
      <c r="C40" s="22">
        <f>('DCF &amp; Valuation'!$B$11+('Opex &amp; EBITDA'!$I$14*(1+$B40)*C$35)/(1+WACC!$B$11)^5-'DCF &amp; Valuation'!$B$17)/'DCF &amp; Valuation'!$B$19</f>
        <v>74.656300889471225</v>
      </c>
      <c r="D40" s="22">
        <f>('DCF &amp; Valuation'!$B$11+('Opex &amp; EBITDA'!$I$14*(1+$B40)*D$35)/(1+WACC!$B$11)^5-'DCF &amp; Valuation'!$B$17)/'DCF &amp; Valuation'!$B$19</f>
        <v>81.812163204029432</v>
      </c>
      <c r="E40" s="22">
        <f>('DCF &amp; Valuation'!$B$11+('Opex &amp; EBITDA'!$I$14*(1+$B40)*E$35)/(1+WACC!$B$11)^5-'DCF &amp; Valuation'!$B$17)/'DCF &amp; Valuation'!$B$19</f>
        <v>88.968025518587652</v>
      </c>
      <c r="F40" s="22">
        <f>('DCF &amp; Valuation'!$B$11+('Opex &amp; EBITDA'!$I$14*(1+$B40)*F$35)/(1+WACC!$B$11)^5-'DCF &amp; Valuation'!$B$17)/'DCF &amp; Valuation'!$B$19</f>
        <v>91.353312956773721</v>
      </c>
      <c r="G40" s="22">
        <f>('DCF &amp; Valuation'!$B$11+('Opex &amp; EBITDA'!$I$14*(1+$B40)*G$35)/(1+WACC!$B$11)^5-'DCF &amp; Valuation'!$B$17)/'DCF &amp; Valuation'!$B$19</f>
        <v>98.509175271331927</v>
      </c>
    </row>
    <row r="42" spans="2:7" x14ac:dyDescent="0.25">
      <c r="B42" t="s">
        <v>114</v>
      </c>
    </row>
    <row r="44" spans="2:7" x14ac:dyDescent="0.25">
      <c r="B44" t="s">
        <v>115</v>
      </c>
    </row>
    <row r="46" spans="2:7" x14ac:dyDescent="0.25">
      <c r="B46" t="s">
        <v>111</v>
      </c>
    </row>
  </sheetData>
  <conditionalFormatting sqref="C13:G2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6:G4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5"/>
  <sheetViews>
    <sheetView showGridLines="0" tabSelected="1" zoomScale="50" zoomScaleNormal="50" workbookViewId="0">
      <selection activeCell="G24" sqref="G24"/>
    </sheetView>
  </sheetViews>
  <sheetFormatPr defaultColWidth="8.7265625" defaultRowHeight="12.5" x14ac:dyDescent="0.25"/>
  <cols>
    <col min="1" max="1" width="48" customWidth="1"/>
    <col min="2" max="9" width="12" customWidth="1"/>
  </cols>
  <sheetData>
    <row r="1" spans="1:9" ht="18" x14ac:dyDescent="0.4">
      <c r="A1" s="1" t="s">
        <v>3</v>
      </c>
    </row>
    <row r="2" spans="1:9" ht="14.5" x14ac:dyDescent="0.35">
      <c r="A2" s="4" t="s">
        <v>101</v>
      </c>
    </row>
    <row r="3" spans="1:9" ht="13" x14ac:dyDescent="0.3">
      <c r="A3" s="5" t="s">
        <v>5</v>
      </c>
    </row>
    <row r="5" spans="1:9" ht="18" customHeight="1" x14ac:dyDescent="0.3">
      <c r="A5" s="62" t="s">
        <v>123</v>
      </c>
      <c r="B5" s="63"/>
      <c r="C5" s="63"/>
      <c r="D5" s="63"/>
      <c r="E5" s="63"/>
      <c r="F5" s="63"/>
      <c r="G5" s="63"/>
      <c r="H5" s="63"/>
      <c r="I5" s="63"/>
    </row>
    <row r="6" spans="1:9" x14ac:dyDescent="0.25">
      <c r="A6" s="61" t="s">
        <v>86</v>
      </c>
      <c r="B6" s="75">
        <f>Assumptions!B40</f>
        <v>0.102871875</v>
      </c>
      <c r="C6" s="76"/>
      <c r="D6" s="76"/>
      <c r="E6" s="76"/>
      <c r="F6" s="76"/>
      <c r="G6" s="76"/>
      <c r="H6" s="76"/>
      <c r="I6" s="77"/>
    </row>
    <row r="7" spans="1:9" x14ac:dyDescent="0.25">
      <c r="A7" s="56" t="s">
        <v>116</v>
      </c>
      <c r="B7" s="78">
        <f>Assumptions!B43</f>
        <v>2.5000000000000001E-2</v>
      </c>
      <c r="C7" s="79"/>
      <c r="D7" s="79"/>
      <c r="E7" s="79"/>
      <c r="F7" s="79"/>
      <c r="G7" s="79"/>
      <c r="H7" s="79"/>
      <c r="I7" s="80"/>
    </row>
    <row r="8" spans="1:9" x14ac:dyDescent="0.25">
      <c r="A8" s="56" t="s">
        <v>117</v>
      </c>
      <c r="B8" s="78">
        <f>Assumptions!E8</f>
        <v>0.12</v>
      </c>
      <c r="C8" s="79"/>
      <c r="D8" s="79"/>
      <c r="E8" s="79"/>
      <c r="F8" s="79"/>
      <c r="G8" s="79"/>
      <c r="H8" s="79"/>
      <c r="I8" s="80"/>
    </row>
    <row r="9" spans="1:9" x14ac:dyDescent="0.25">
      <c r="A9" s="56" t="s">
        <v>118</v>
      </c>
      <c r="B9" s="78">
        <f>Assumptions!E9</f>
        <v>0.16</v>
      </c>
      <c r="C9" s="79"/>
      <c r="D9" s="79"/>
      <c r="E9" s="79"/>
      <c r="F9" s="79"/>
      <c r="G9" s="79"/>
      <c r="H9" s="79"/>
      <c r="I9" s="80"/>
    </row>
    <row r="10" spans="1:9" x14ac:dyDescent="0.25">
      <c r="A10" s="56" t="s">
        <v>119</v>
      </c>
      <c r="B10" s="81">
        <f>'Opex &amp; EBITDA'!I14/'Opex &amp; EBITDA'!I7</f>
        <v>0.32299999999999995</v>
      </c>
      <c r="C10" s="82"/>
      <c r="D10" s="82"/>
      <c r="E10" s="82"/>
      <c r="F10" s="82"/>
      <c r="G10" s="82"/>
      <c r="H10" s="82"/>
      <c r="I10" s="83"/>
    </row>
    <row r="11" spans="1:9" ht="13" x14ac:dyDescent="0.3">
      <c r="A11" s="53" t="s">
        <v>102</v>
      </c>
      <c r="B11" s="84">
        <f>'DCF &amp; Valuation'!B20</f>
        <v>45.490403637092555</v>
      </c>
      <c r="C11" s="85"/>
      <c r="D11" s="85"/>
      <c r="E11" s="85"/>
      <c r="F11" s="85"/>
      <c r="G11" s="85"/>
      <c r="H11" s="85"/>
      <c r="I11" s="86"/>
    </row>
    <row r="12" spans="1:9" x14ac:dyDescent="0.25">
      <c r="A12" s="56" t="s">
        <v>120</v>
      </c>
      <c r="B12" s="81">
        <f>(B11-B13)/B13</f>
        <v>-0.49314313496275702</v>
      </c>
      <c r="C12" s="82"/>
      <c r="D12" s="82"/>
      <c r="E12" s="82"/>
      <c r="F12" s="82"/>
      <c r="G12" s="82"/>
      <c r="H12" s="82"/>
      <c r="I12" s="83"/>
    </row>
    <row r="13" spans="1:9" x14ac:dyDescent="0.25">
      <c r="A13" s="56" t="s">
        <v>103</v>
      </c>
      <c r="B13" s="69">
        <v>89.75</v>
      </c>
      <c r="C13" s="70"/>
      <c r="D13" s="70"/>
      <c r="E13" s="70"/>
      <c r="F13" s="70"/>
      <c r="G13" s="70"/>
      <c r="H13" s="70"/>
      <c r="I13" s="71"/>
    </row>
    <row r="14" spans="1:9" x14ac:dyDescent="0.25">
      <c r="A14" s="58" t="s">
        <v>104</v>
      </c>
      <c r="B14" s="72" t="s">
        <v>121</v>
      </c>
      <c r="C14" s="73"/>
      <c r="D14" s="73"/>
      <c r="E14" s="73"/>
      <c r="F14" s="73"/>
      <c r="G14" s="73"/>
      <c r="H14" s="73"/>
      <c r="I14" s="74"/>
    </row>
    <row r="15" spans="1:9" x14ac:dyDescent="0.25">
      <c r="F15" s="57"/>
      <c r="G15" s="57"/>
      <c r="H15" s="57"/>
      <c r="I15" s="57"/>
    </row>
    <row r="18" spans="1:9" ht="18" customHeight="1" x14ac:dyDescent="0.3">
      <c r="A18" s="62" t="s">
        <v>124</v>
      </c>
      <c r="B18" s="63"/>
      <c r="C18" s="63"/>
      <c r="D18" s="63"/>
      <c r="E18" s="63"/>
      <c r="F18" s="63"/>
      <c r="G18" s="63"/>
      <c r="H18" s="63"/>
      <c r="I18" s="63"/>
    </row>
    <row r="19" spans="1:9" ht="48" customHeight="1" x14ac:dyDescent="0.25">
      <c r="A19" s="87" t="s">
        <v>125</v>
      </c>
      <c r="B19" s="87"/>
      <c r="C19" s="87"/>
      <c r="D19" s="87"/>
      <c r="E19" s="87"/>
      <c r="F19" s="87"/>
      <c r="G19" s="87"/>
      <c r="H19" s="87"/>
      <c r="I19" s="88"/>
    </row>
    <row r="20" spans="1:9" ht="48" customHeight="1" x14ac:dyDescent="0.25">
      <c r="A20" s="89" t="s">
        <v>126</v>
      </c>
      <c r="B20" s="89"/>
      <c r="C20" s="89"/>
      <c r="D20" s="89"/>
      <c r="E20" s="89"/>
      <c r="F20" s="89"/>
      <c r="G20" s="89"/>
      <c r="H20" s="89"/>
      <c r="I20" s="90"/>
    </row>
    <row r="21" spans="1:9" ht="48" customHeight="1" x14ac:dyDescent="0.25">
      <c r="A21" s="89" t="s">
        <v>127</v>
      </c>
      <c r="B21" s="89"/>
      <c r="C21" s="89"/>
      <c r="D21" s="89"/>
      <c r="E21" s="89"/>
      <c r="F21" s="89"/>
      <c r="G21" s="89"/>
      <c r="H21" s="89"/>
      <c r="I21" s="90"/>
    </row>
    <row r="22" spans="1:9" ht="48" customHeight="1" x14ac:dyDescent="0.25">
      <c r="A22" s="91" t="s">
        <v>128</v>
      </c>
      <c r="B22" s="91"/>
      <c r="C22" s="91"/>
      <c r="D22" s="91"/>
      <c r="E22" s="91"/>
      <c r="F22" s="91"/>
      <c r="G22" s="91"/>
      <c r="H22" s="91"/>
      <c r="I22" s="92"/>
    </row>
    <row r="23" spans="1:9" ht="48" customHeight="1" x14ac:dyDescent="0.25">
      <c r="A23" s="89" t="s">
        <v>129</v>
      </c>
      <c r="B23" s="89"/>
      <c r="C23" s="89"/>
      <c r="D23" s="89"/>
      <c r="E23" s="89"/>
      <c r="F23" s="89"/>
      <c r="G23" s="89"/>
      <c r="H23" s="89"/>
      <c r="I23" s="90"/>
    </row>
    <row r="24" spans="1:9" ht="48" customHeight="1" x14ac:dyDescent="0.25">
      <c r="A24" s="55"/>
      <c r="B24" s="55"/>
      <c r="C24" s="55"/>
      <c r="D24" s="55"/>
      <c r="E24" s="55"/>
      <c r="F24" s="55"/>
      <c r="G24" s="55"/>
      <c r="H24" s="55"/>
      <c r="I24" s="55"/>
    </row>
    <row r="25" spans="1:9" ht="48" customHeight="1" x14ac:dyDescent="0.25"/>
  </sheetData>
  <mergeCells count="14">
    <mergeCell ref="A19:I19"/>
    <mergeCell ref="A20:I20"/>
    <mergeCell ref="A21:I21"/>
    <mergeCell ref="A22:I22"/>
    <mergeCell ref="A23:I23"/>
    <mergeCell ref="B13:I13"/>
    <mergeCell ref="B14:I14"/>
    <mergeCell ref="B6:I6"/>
    <mergeCell ref="B7:I7"/>
    <mergeCell ref="B8:I8"/>
    <mergeCell ref="B9:I9"/>
    <mergeCell ref="B10:I10"/>
    <mergeCell ref="B11:I11"/>
    <mergeCell ref="B12:I12"/>
  </mergeCells>
  <hyperlinks>
    <hyperlink ref="B14:I14" location="Sensitivity!A1" display="See Sensitivity tab for full WACC/Growth and Revenue/Multiple grids" xr:uid="{7AD7A039-0973-4517-A78C-01EDDD3FE519}"/>
  </hyperlink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Assumptions</vt:lpstr>
      <vt:lpstr>Revenue Build</vt:lpstr>
      <vt:lpstr>Opex &amp; EBITDA</vt:lpstr>
      <vt:lpstr>Capex &amp; DA</vt:lpstr>
      <vt:lpstr>Working Capital</vt:lpstr>
      <vt:lpstr>Unlevered FCF</vt:lpstr>
      <vt:lpstr>WACC</vt:lpstr>
      <vt:lpstr>DCF &amp; Valuation</vt:lpstr>
      <vt:lpstr>Sensitivity</vt:lpstr>
      <vt:lpstr>Summary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Jack Kerins</cp:lastModifiedBy>
  <cp:revision>0</cp:revision>
  <dcterms:created xsi:type="dcterms:W3CDTF">2026-08-06T21:41:18Z</dcterms:created>
  <dcterms:modified xsi:type="dcterms:W3CDTF">2026-08-21T20:04:19Z</dcterms:modified>
  <dc:language>en-US</dc:language>
</cp:coreProperties>
</file>